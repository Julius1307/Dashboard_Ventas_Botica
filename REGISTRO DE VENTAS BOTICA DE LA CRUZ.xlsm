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JULIUS\Desktop\"/>
    </mc:Choice>
  </mc:AlternateContent>
  <xr:revisionPtr revIDLastSave="0" documentId="13_ncr:1_{849D541A-65C3-448D-984F-9F9E44A562F5}" xr6:coauthVersionLast="36" xr6:coauthVersionMax="47" xr10:uidLastSave="{00000000-0000-0000-0000-000000000000}"/>
  <bookViews>
    <workbookView xWindow="-120" yWindow="-120" windowWidth="20730" windowHeight="11040" tabRatio="714" activeTab="5" xr2:uid="{00000000-000D-0000-FFFF-FFFF00000000}"/>
  </bookViews>
  <sheets>
    <sheet name="Inventario" sheetId="1" r:id="rId1"/>
    <sheet name="Ventas" sheetId="2" r:id="rId2"/>
    <sheet name="Productos más vendidos" sheetId="9" state="hidden" r:id="rId3"/>
    <sheet name="Ingresos" sheetId="10" state="hidden" r:id="rId4"/>
    <sheet name="KPIS" sheetId="11" state="hidden" r:id="rId5"/>
    <sheet name="Dashboard" sheetId="12" r:id="rId6"/>
    <sheet name="Tendencia" sheetId="13" state="hidden" r:id="rId7"/>
  </sheets>
  <definedNames>
    <definedName name="_xlnm.Print_Area" localSheetId="5">Dashboard!$A$1:$K$21</definedName>
    <definedName name="SegmentaciónDeDatos_Fecha">#N/A</definedName>
  </definedNames>
  <calcPr calcId="191029"/>
  <pivotCaches>
    <pivotCache cacheId="12" r:id="rId8"/>
    <pivotCache cacheId="15" r:id="rId9"/>
  </pivotCaches>
  <extLst>
    <ext xmlns:x14="http://schemas.microsoft.com/office/spreadsheetml/2009/9/main" uri="{BBE1A952-AA13-448e-AADC-164F8A28A991}">
      <x14:slicerCaches>
        <x14:slicerCache r:id="rId10"/>
      </x14:slicerCaches>
    </ext>
    <ext xmlns:x14="http://schemas.microsoft.com/office/spreadsheetml/2009/9/main" uri="{79F54976-1DA5-4618-B147-4CDE4B953A38}">
      <x14:workbookPr/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4" i="12" l="1"/>
  <c r="C4" i="11" l="1"/>
  <c r="E4" i="12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A3" i="12"/>
  <c r="B3" i="12"/>
  <c r="C3" i="12"/>
  <c r="A4" i="12"/>
  <c r="B4" i="12"/>
  <c r="C4" i="12" l="1"/>
</calcChain>
</file>

<file path=xl/sharedStrings.xml><?xml version="1.0" encoding="utf-8"?>
<sst xmlns="http://schemas.openxmlformats.org/spreadsheetml/2006/main" count="433" uniqueCount="250">
  <si>
    <t>Categoría</t>
  </si>
  <si>
    <t>Stock</t>
  </si>
  <si>
    <t xml:space="preserve">Kitadol Migraña </t>
  </si>
  <si>
    <t>Panadol Forte</t>
  </si>
  <si>
    <t>Migralivia</t>
  </si>
  <si>
    <t>Dolonet Forte</t>
  </si>
  <si>
    <t>Bio Electro</t>
  </si>
  <si>
    <t>Extindol (Paracetamol 1g)</t>
  </si>
  <si>
    <t>Ciprofloxacino 500mg</t>
  </si>
  <si>
    <t>Fluconazol (150 mg) - PORTUGAL</t>
  </si>
  <si>
    <t>Fluconazol Cápsula - 150mg</t>
  </si>
  <si>
    <t xml:space="preserve">Nastizol Junior </t>
  </si>
  <si>
    <t>Nastizol Forte</t>
  </si>
  <si>
    <t>Caltracid - D</t>
  </si>
  <si>
    <t>Alerliv</t>
  </si>
  <si>
    <t>Gripa C</t>
  </si>
  <si>
    <t>Efer - C</t>
  </si>
  <si>
    <t>Fecha</t>
  </si>
  <si>
    <t>Producto</t>
  </si>
  <si>
    <t>Cantidad vendida</t>
  </si>
  <si>
    <t>Metrofem OVULOS</t>
  </si>
  <si>
    <t>Gynomax NF</t>
  </si>
  <si>
    <t>BabyTest</t>
  </si>
  <si>
    <t>Norifarm</t>
  </si>
  <si>
    <t>SexiUltra</t>
  </si>
  <si>
    <t>DIVINA</t>
  </si>
  <si>
    <t>DROKSE</t>
  </si>
  <si>
    <t>Preservativo Piel SENSITIVO</t>
  </si>
  <si>
    <t>Preservativo LEGEND</t>
  </si>
  <si>
    <t>Analgesia / Dolor de cabeza</t>
  </si>
  <si>
    <t>Antibiótico</t>
  </si>
  <si>
    <t>Antifúngico</t>
  </si>
  <si>
    <t>Antifúngico / Ginecológico</t>
  </si>
  <si>
    <t>Antigripal / Pediátrico</t>
  </si>
  <si>
    <t>Antigripal</t>
  </si>
  <si>
    <t>Suplemento / Calcio y Vitamina D</t>
  </si>
  <si>
    <t>Antialérgico</t>
  </si>
  <si>
    <t>Antigripal / Resfrío común</t>
  </si>
  <si>
    <t>Magnesol Azul</t>
  </si>
  <si>
    <t>Magnesol Naranja</t>
  </si>
  <si>
    <t>Suplemento mineral</t>
  </si>
  <si>
    <t>Suplemento vitamínico / Vitamina C</t>
  </si>
  <si>
    <t>Prueba rápida</t>
  </si>
  <si>
    <t>Anticonceptivo oral / Emergencia</t>
  </si>
  <si>
    <t>Potenciador sexual masculino</t>
  </si>
  <si>
    <t>Regulador hormonal / Anticonceptivo</t>
  </si>
  <si>
    <t>Ampolla</t>
  </si>
  <si>
    <t>Preservativo</t>
  </si>
  <si>
    <t>Dexabron Plus ANTIGRIPAL</t>
  </si>
  <si>
    <t>VICK VitaPyrena Forte</t>
  </si>
  <si>
    <t>DAYFLU Active</t>
  </si>
  <si>
    <t>Panadol ANTIGRIPAL NF</t>
  </si>
  <si>
    <t>GRIPACHECK</t>
  </si>
  <si>
    <t>CHAO NF</t>
  </si>
  <si>
    <t>ANTIGRIPINA PLUS</t>
  </si>
  <si>
    <t>Analgesia / Dolor de garganta</t>
  </si>
  <si>
    <t>MULTI-BIOTICOS (CARAMELOS)</t>
  </si>
  <si>
    <t>Clorfenamina Maleato 4mg</t>
  </si>
  <si>
    <t>Neoalergine Plus</t>
  </si>
  <si>
    <t>ALERCHECK PLUS</t>
  </si>
  <si>
    <t>Cetirizina 10mg</t>
  </si>
  <si>
    <t>Loratadina 10mg BLISTER</t>
  </si>
  <si>
    <t>Complejo B</t>
  </si>
  <si>
    <t>CIPROXINA 500 (Ciprofloxacino 500mg)</t>
  </si>
  <si>
    <t>LIPSALIV (Mantequilla de cacao)</t>
  </si>
  <si>
    <t>MioDel relax</t>
  </si>
  <si>
    <t>DOLO DOLFENEX FORTE</t>
  </si>
  <si>
    <t>APRONAX 550mg</t>
  </si>
  <si>
    <t>Alliviax 550mg</t>
  </si>
  <si>
    <t>DOLO Neuropress FORTE</t>
  </si>
  <si>
    <t>Doloibupress FORTE</t>
  </si>
  <si>
    <t>DUORELAX</t>
  </si>
  <si>
    <t>ORFENADRINA 100mg</t>
  </si>
  <si>
    <t>DOLOCORDRALAN EXTRA FORTE NF (Cápsula)</t>
  </si>
  <si>
    <t>DEXAMETASONA 4mg</t>
  </si>
  <si>
    <t>Dolo Neurobion FORTE</t>
  </si>
  <si>
    <t>BRONCOPHAR PLUS</t>
  </si>
  <si>
    <t>AMOSEV-CV 625</t>
  </si>
  <si>
    <t>SULFACID BALSÁMICO</t>
  </si>
  <si>
    <t>Amoxicilina 500mg (Cápsula)</t>
  </si>
  <si>
    <t>Amoxicilina 500mg (Tableta recubierta)</t>
  </si>
  <si>
    <t>Bronco Magnimox 500</t>
  </si>
  <si>
    <t>Meloxicam 15mg (Tableta)</t>
  </si>
  <si>
    <t>AZITROMICINA 500mg (Tableta)</t>
  </si>
  <si>
    <t>DICLOFENACO 50mg</t>
  </si>
  <si>
    <t>DICLOFENACO 100mg</t>
  </si>
  <si>
    <t>TRAMADOL 50mg</t>
  </si>
  <si>
    <t>Ketorolaco 10mg (Tableta recubierta)</t>
  </si>
  <si>
    <t>Ketoprofeno 100mg</t>
  </si>
  <si>
    <t>Naproxeno Sódico 550mg - Portugal</t>
  </si>
  <si>
    <t>Naproxeno Sódico 550mg - Farmindustria</t>
  </si>
  <si>
    <t>CEFALEXINA 500mg (Cápsula)</t>
  </si>
  <si>
    <t>LINCOMAX (Lincomicina) 600mg / 2ml</t>
  </si>
  <si>
    <t>GENTAMICINA 0,3% (Gotas)</t>
  </si>
  <si>
    <t>PALATOX FORTE (Jarabe)</t>
  </si>
  <si>
    <t>Celecoxib 200mg (Cápsulas)</t>
  </si>
  <si>
    <t>Amikacina 500mg / 2ml (Ampolla) - Pharmagenérico</t>
  </si>
  <si>
    <t>Total venta (S/.)</t>
  </si>
  <si>
    <t>Precio unitario (S/.)</t>
  </si>
  <si>
    <t>Nombre del producto</t>
  </si>
  <si>
    <t>Precio</t>
  </si>
  <si>
    <t>Total general</t>
  </si>
  <si>
    <t>Suma de Total venta (S/.)</t>
  </si>
  <si>
    <t>Estado</t>
  </si>
  <si>
    <t xml:space="preserve">Clavutrim (Polvo) - Amoxicilina 250mg / 5ml </t>
  </si>
  <si>
    <t>Cefalexina (Polvo) 250mg / 5ml - Farmindustria</t>
  </si>
  <si>
    <t>Paracetamol (Jarabe) 160mg / 5ml - Genfar</t>
  </si>
  <si>
    <t>Ibuprofeno (Jarabe) 100mg / 5ml - Genfar</t>
  </si>
  <si>
    <t>BRONCOPHAR (Jarabe) PLUS 120ml</t>
  </si>
  <si>
    <t xml:space="preserve">Dolol (Gotas) - Paracetamol 100mg / ml </t>
  </si>
  <si>
    <t xml:space="preserve">Dolol (Paracetamol - Jarabe) 160mg / 5ml </t>
  </si>
  <si>
    <t>Repriman (Jarabe) 250mg / 5ml - QUILAB</t>
  </si>
  <si>
    <t>Amikacina (Ampolla) 500mg / 2ml - Vitalis</t>
  </si>
  <si>
    <t xml:space="preserve">Lincomicina (Ampolla) 600mg / 2ml </t>
  </si>
  <si>
    <t xml:space="preserve">N-BUTILBROMURO DE HIOSCINA (Ampolla) 20mg / ml </t>
  </si>
  <si>
    <t>Gentamicina (Ampolla) 160mg / 2ml  - Farmindustria</t>
  </si>
  <si>
    <t>Ketoprofeno (Ampolla) 100mg / 2ml  - Genfar</t>
  </si>
  <si>
    <t xml:space="preserve">Cafazolbac (Polvo para ampolla) - Ceftriaxona 1g </t>
  </si>
  <si>
    <t xml:space="preserve">Rylamax (Polvo para disolver) - Ceftriaxona 1g </t>
  </si>
  <si>
    <t xml:space="preserve">SALBUTAMOL (Aerosol) 100mcg/dosis </t>
  </si>
  <si>
    <t xml:space="preserve">Paracetamol (Gotas) - 100mg / 10ml </t>
  </si>
  <si>
    <t xml:space="preserve">DICOFIX (Ampolla) - Diclofenaco sódico 75mg / 3ml </t>
  </si>
  <si>
    <t xml:space="preserve">DEXCORTIL (Ampolla) - Dexametasona fosfato 4mg / 2ml </t>
  </si>
  <si>
    <t xml:space="preserve">Clorfenamina (Ampolla) 10mg / 1ml </t>
  </si>
  <si>
    <t>Cefalexina 250mg / 5ml (Polvo) - Genfar</t>
  </si>
  <si>
    <t xml:space="preserve">Dólatrim Pediátrico 60ml (Suspensión oral) </t>
  </si>
  <si>
    <t>ZITROPHAR 200mg / 5ml (Polvo)</t>
  </si>
  <si>
    <t>BRONCO VELAMOX 60ml</t>
  </si>
  <si>
    <t>Amoxicilina (Polvo) 250mg / 5ml - Portugal</t>
  </si>
  <si>
    <t>Dextrometorfano (Solución oral) 15mg / 5ml - Portugal</t>
  </si>
  <si>
    <t>Ambroxol (Solución oral) 30mg / 5ml - Portugal</t>
  </si>
  <si>
    <t>Prednisona (Solución oral) 5mg / 5ml - Portugal</t>
  </si>
  <si>
    <t>Ibuprofeno (Suspensión oral) 100mg / 5ml - Portugal</t>
  </si>
  <si>
    <t>Furazolidona (Suspensión oral) 50mg / 5ml - Portugal</t>
  </si>
  <si>
    <t>Clorfenamina Maleato (Solución oral) 2mg / 5ml - Portugal</t>
  </si>
  <si>
    <t>Repriman (Metamizol sódico monohidrato 500mg) - Quilab</t>
  </si>
  <si>
    <t>Paracetamol 500mg - Genfar</t>
  </si>
  <si>
    <t>Ibuprofeno 400mg - Genfar</t>
  </si>
  <si>
    <t>Termómetro digital</t>
  </si>
  <si>
    <t>DICLOFENACO 1% GEL 50g - Genfar</t>
  </si>
  <si>
    <t>DICLOFENACO 1% GEL 50g - Farmindustria</t>
  </si>
  <si>
    <t>Portil NF (Crema) 20g - Sanfer</t>
  </si>
  <si>
    <t>Topicrem Crema 10g - Hersil</t>
  </si>
  <si>
    <t>Diclofenaco 1% Gel 50g - Portugal</t>
  </si>
  <si>
    <t>Betametasona (Crema) 0,05% 20g - Farmindustria</t>
  </si>
  <si>
    <t>Clotrimazol (Crema) 1% - Portugal</t>
  </si>
  <si>
    <t xml:space="preserve">Sulfadiazina de Plata (Crema) 1% - Genfar </t>
  </si>
  <si>
    <t xml:space="preserve">LIVOLIN Forte </t>
  </si>
  <si>
    <t xml:space="preserve">HEPABIONTA Forte </t>
  </si>
  <si>
    <t>Tioctan FUERTE</t>
  </si>
  <si>
    <t>Enterogermina Vía oral 5ml</t>
  </si>
  <si>
    <t>Frutenzima cápsula</t>
  </si>
  <si>
    <t>ASPIRINA 100</t>
  </si>
  <si>
    <t>Metamizol Sódico (Ampolla) 1g / 2ml</t>
  </si>
  <si>
    <t>Amlodipino 5mg - Portugal</t>
  </si>
  <si>
    <t>Atorvastatina 20mg - Portugal</t>
  </si>
  <si>
    <t>CAPTOPRIL 25mg - IQFARMA</t>
  </si>
  <si>
    <t>Captopril 25mg - Portugal</t>
  </si>
  <si>
    <t>Prednisona 5mg - Portugal</t>
  </si>
  <si>
    <t>Ampicilina 500mg - Portugal</t>
  </si>
  <si>
    <t>Dicloxacilina 500mg - Portugal</t>
  </si>
  <si>
    <t>Omeprazol 20mg - Portugal</t>
  </si>
  <si>
    <t>NISOPLUS 20</t>
  </si>
  <si>
    <t>Plidan Compuesto NF - Megalabs</t>
  </si>
  <si>
    <t>GRAVOL - Medifarma</t>
  </si>
  <si>
    <t>DONAFAN Forte - ANSOLAT</t>
  </si>
  <si>
    <t>Toban F Loperamida 2mg - Eurofarma</t>
  </si>
  <si>
    <t>Ponstan</t>
  </si>
  <si>
    <t>Buscapina Compositum N</t>
  </si>
  <si>
    <t>GASEOVET - Medifarma</t>
  </si>
  <si>
    <t>Sulfacid FORTE</t>
  </si>
  <si>
    <t>Dulcolax Bisacodilo 5mg</t>
  </si>
  <si>
    <t>Evakua Perlas</t>
  </si>
  <si>
    <t>3 - Gel</t>
  </si>
  <si>
    <t>ALBENDAZOL 200mg - IQFARMA</t>
  </si>
  <si>
    <t>Albendazol (Suspensión oral) 100mg / 5ml - Farmindustria</t>
  </si>
  <si>
    <t>Lactulosa (Solución oral) 3,33g / 5ml - Farmindustria</t>
  </si>
  <si>
    <t>Curitas (Bendi - C y Family Doctor)</t>
  </si>
  <si>
    <t>Barra de azufre - Lucerito SAC.</t>
  </si>
  <si>
    <t>AZUFRE - Johnfarma</t>
  </si>
  <si>
    <t xml:space="preserve">Bismutol </t>
  </si>
  <si>
    <t>ANAFLEX mujer</t>
  </si>
  <si>
    <t>SULFERIDA Polvo</t>
  </si>
  <si>
    <t>BabyBalm VICK Bálsamo</t>
  </si>
  <si>
    <t>VICK VapoRub</t>
  </si>
  <si>
    <t>Mentholatum</t>
  </si>
  <si>
    <t>Sal de ANDREWS TRIPLE ACCION</t>
  </si>
  <si>
    <t>Sal de ANDREWS Clásica</t>
  </si>
  <si>
    <t>Metformina Clorhidrato 850mg</t>
  </si>
  <si>
    <t>FENAZOPIRIDINA 100mg</t>
  </si>
  <si>
    <t>Pyridium 100mg</t>
  </si>
  <si>
    <t>Uren 100mg</t>
  </si>
  <si>
    <t xml:space="preserve">Nikzon </t>
  </si>
  <si>
    <t>Pillneur 75 mg (Oral)</t>
  </si>
  <si>
    <t>Losartán 50mg - Labogen</t>
  </si>
  <si>
    <t>Losartán Potásico 50mg - Portugal</t>
  </si>
  <si>
    <t>Alprazolam 0,5mg</t>
  </si>
  <si>
    <t>Clorfedan (Ampolla) 10mg / ml</t>
  </si>
  <si>
    <t>Vitaminas</t>
  </si>
  <si>
    <t>Tópico</t>
  </si>
  <si>
    <t>Relajante muscular</t>
  </si>
  <si>
    <t>Anti inflamatorio</t>
  </si>
  <si>
    <t>Analgésico</t>
  </si>
  <si>
    <t>Expectorante</t>
  </si>
  <si>
    <t>Anti histamínicos</t>
  </si>
  <si>
    <t>Broncodilatadores</t>
  </si>
  <si>
    <t>Anti bacteriano</t>
  </si>
  <si>
    <t>Antiespasmódico</t>
  </si>
  <si>
    <t>Fiebre</t>
  </si>
  <si>
    <t>Antitusivos</t>
  </si>
  <si>
    <t>Mucolítico</t>
  </si>
  <si>
    <t>Corticosteroides</t>
  </si>
  <si>
    <t>AINE</t>
  </si>
  <si>
    <t>Antipsicótico</t>
  </si>
  <si>
    <t>Dispositivo médico</t>
  </si>
  <si>
    <t>Cuidado de la piel</t>
  </si>
  <si>
    <t>Sulfonamida</t>
  </si>
  <si>
    <t>Intoxicación</t>
  </si>
  <si>
    <t>Probiótico</t>
  </si>
  <si>
    <t>Suplemento</t>
  </si>
  <si>
    <t>Salicilatos</t>
  </si>
  <si>
    <t>Cardiovascular (Hipertensión)</t>
  </si>
  <si>
    <t>Cardiovascular (Colesterol)</t>
  </si>
  <si>
    <t>Gastrointestinal</t>
  </si>
  <si>
    <t>Gastrointestinal (Antiflatulento)</t>
  </si>
  <si>
    <t>Gastrointestinal (Antiácido/Protector)</t>
  </si>
  <si>
    <t>Gastrointestinal (Laxante)</t>
  </si>
  <si>
    <t>Antibióticos / Antimicrobianos</t>
  </si>
  <si>
    <t>Varios / Misceláneos</t>
  </si>
  <si>
    <t>Gastrointestinal (Antidiarreico)</t>
  </si>
  <si>
    <t>Varios / Misceláneos (Tópico)</t>
  </si>
  <si>
    <t>Gastrointestinales (Antiácido/Laxante)</t>
  </si>
  <si>
    <t>Diabetes (Hipoglucemiante)</t>
  </si>
  <si>
    <t>Tracto Urinario (Analgésico)</t>
  </si>
  <si>
    <t>Gastrointestinales (Hemorroides)</t>
  </si>
  <si>
    <t>Sistema Nervioso (Neuropático)</t>
  </si>
  <si>
    <t>Sistema Nervioso (Ansiolítico)</t>
  </si>
  <si>
    <t>Etiquetas de fila</t>
  </si>
  <si>
    <t>(Varios elementos)</t>
  </si>
  <si>
    <t>Venta promedio por producto</t>
  </si>
  <si>
    <t>DASHBOARD DE VENTAS - BOTICA DE LA CRUZ</t>
  </si>
  <si>
    <t>Cuenta de Nombre del producto</t>
  </si>
  <si>
    <t>TOP 10 PRODUCTOS CON MAYORES INGRESOS GENERADOS</t>
  </si>
  <si>
    <t>PRODUCTOS CON STOCK MENOR A 10</t>
  </si>
  <si>
    <t>Ventas totales (S/.)</t>
  </si>
  <si>
    <t>Cantidad de productos vendidos</t>
  </si>
  <si>
    <t>Oct</t>
  </si>
  <si>
    <t>PRODUCTO CON MAYOR INGRESO</t>
  </si>
  <si>
    <t>Nov</t>
  </si>
  <si>
    <t>VENTAS POR 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</si>
</sst>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64" formatCode="&quot;S/&quot;\ #,##0.00"/>
  </numFmts>
  <fonts count="15" x14ac:knownFonts="1">
    <font>
      <sz val="11"/>
      <color theme="1"/>
      <name val="Calibri"/>
      <family val="2"/>
      <scheme val="minor"/>
    </font>
    <font>
      <b/>
      <sz val="13"/>
      <color theme="1"/>
      <name val="Arial"/>
      <family val="2"/>
    </font>
    <font>
      <sz val="13"/>
      <color theme="1"/>
      <name val="Arial"/>
      <family val="2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sz val="14"/>
      <color theme="6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i/>
      <sz val="14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u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 vertical="top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64" fontId="2" fillId="0" borderId="0" xfId="0" applyNumberFormat="1" applyFont="1" applyAlignment="1">
      <alignment horizontal="center" vertical="center"/>
    </xf>
    <xf numFmtId="22" fontId="0" fillId="0" borderId="0" xfId="0" applyNumberFormat="1" applyAlignment="1">
      <alignment horizontal="center"/>
    </xf>
    <xf numFmtId="22" fontId="0" fillId="0" borderId="0" xfId="0" applyNumberFormat="1"/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0" xfId="0" applyNumberFormat="1"/>
    <xf numFmtId="0" fontId="2" fillId="0" borderId="0" xfId="0" applyNumberFormat="1" applyFont="1" applyAlignment="1">
      <alignment horizontal="center" vertical="center"/>
    </xf>
    <xf numFmtId="164" fontId="2" fillId="0" borderId="0" xfId="0" applyNumberFormat="1" applyFont="1" applyFill="1" applyAlignment="1">
      <alignment horizontal="center" vertical="center"/>
    </xf>
    <xf numFmtId="0" fontId="3" fillId="0" borderId="0" xfId="0" applyFont="1"/>
    <xf numFmtId="0" fontId="0" fillId="0" borderId="0" xfId="0" applyAlignment="1">
      <alignment horizontal="left"/>
    </xf>
    <xf numFmtId="164" fontId="0" fillId="0" borderId="0" xfId="0" applyNumberFormat="1" applyAlignment="1">
      <alignment horizontal="right"/>
    </xf>
    <xf numFmtId="0" fontId="4" fillId="2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9" fillId="0" borderId="0" xfId="0" applyFont="1" applyAlignment="1"/>
    <xf numFmtId="0" fontId="7" fillId="0" borderId="0" xfId="0" applyFont="1"/>
    <xf numFmtId="164" fontId="6" fillId="0" borderId="0" xfId="0" applyNumberFormat="1" applyFont="1"/>
    <xf numFmtId="41" fontId="6" fillId="0" borderId="0" xfId="0" applyNumberFormat="1" applyFont="1"/>
    <xf numFmtId="0" fontId="0" fillId="0" borderId="0" xfId="0" pivotButton="1"/>
    <xf numFmtId="0" fontId="0" fillId="0" borderId="0" xfId="0"/>
    <xf numFmtId="0" fontId="10" fillId="0" borderId="0" xfId="0" applyFont="1"/>
    <xf numFmtId="22" fontId="0" fillId="0" borderId="0" xfId="0" applyNumberFormat="1" applyAlignment="1">
      <alignment horizontal="left"/>
    </xf>
    <xf numFmtId="0" fontId="11" fillId="0" borderId="0" xfId="0" applyFont="1" applyAlignment="1"/>
    <xf numFmtId="0" fontId="11" fillId="0" borderId="0" xfId="0" applyFont="1" applyAlignment="1">
      <alignment horizontal="left"/>
    </xf>
    <xf numFmtId="0" fontId="12" fillId="0" borderId="0" xfId="0" applyFont="1" applyAlignment="1"/>
    <xf numFmtId="0" fontId="13" fillId="0" borderId="0" xfId="0" applyFont="1"/>
    <xf numFmtId="0" fontId="11" fillId="0" borderId="0" xfId="0" applyFont="1" applyAlignment="1">
      <alignment horizontal="left" vertical="top"/>
    </xf>
    <xf numFmtId="0" fontId="8" fillId="0" borderId="0" xfId="0" applyFont="1" applyAlignment="1">
      <alignment horizontal="center"/>
    </xf>
    <xf numFmtId="0" fontId="14" fillId="0" borderId="0" xfId="0" applyFont="1" applyAlignment="1">
      <alignment horizontal="left" vertical="top"/>
    </xf>
  </cellXfs>
  <cellStyles count="1">
    <cellStyle name="Normal" xfId="0" builtinId="0"/>
  </cellStyles>
  <dxfs count="14">
    <dxf>
      <font>
        <color auto="1"/>
      </font>
    </dxf>
    <dxf>
      <numFmt numFmtId="164" formatCode="&quot;S/&quot;\ #,##0.00"/>
    </dxf>
    <dxf>
      <numFmt numFmtId="164" formatCode="&quot;S/&quot;\ #,##0.00"/>
    </dxf>
    <dxf>
      <numFmt numFmtId="27" formatCode="d/mm/yyyy\ hh:mm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3"/>
        <color theme="1"/>
        <name val="Arial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3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3"/>
        <color theme="1"/>
        <name val="Arial"/>
        <family val="2"/>
        <scheme val="none"/>
      </font>
      <numFmt numFmtId="164" formatCode="&quot;S/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3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3"/>
        <color theme="1"/>
        <name val="Arial"/>
        <family val="2"/>
        <scheme val="none"/>
      </font>
      <alignment horizontal="center" vertical="center" textRotation="0" indent="0" justifyLastLine="0" shrinkToFit="0" readingOrder="0"/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3"/>
        <color theme="1"/>
        <name val="Arial"/>
        <family val="2"/>
        <scheme val="none"/>
      </font>
      <alignment horizontal="center" vertical="center" textRotation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rial"/>
        <family val="2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colors>
    <mruColors>
      <color rgb="FF33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microsoft.com/office/2007/relationships/slicerCache" Target="slicerCaches/slicerCach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[REGISTRO DE VENTAS BOTICA DE LA CRUZ.xlsm]Ingresos!TD_Ingresos</c:name>
    <c:fmtId val="3"/>
  </c:pivotSource>
  <c:chart>
    <c:autoTitleDeleted val="1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Ingresos!$B$3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Ingresos!$A$4:$A$14</c:f>
              <c:strCache>
                <c:ptCount val="10"/>
                <c:pt idx="0">
                  <c:v>Dolo Neurobion FORTE</c:v>
                </c:pt>
                <c:pt idx="1">
                  <c:v>DICOFIX (Ampolla) - Diclofenaco sódico 75mg / 3ml </c:v>
                </c:pt>
                <c:pt idx="2">
                  <c:v>DOLOCORDRALAN EXTRA FORTE NF (Cápsula)</c:v>
                </c:pt>
                <c:pt idx="3">
                  <c:v>DEXCORTIL (Ampolla) - Dexametasona fosfato 4mg / 2ml </c:v>
                </c:pt>
                <c:pt idx="4">
                  <c:v>AMOSEV-CV 625</c:v>
                </c:pt>
                <c:pt idx="5">
                  <c:v>HEPABIONTA Forte </c:v>
                </c:pt>
                <c:pt idx="6">
                  <c:v>Lincomicina (Ampolla) 600mg / 2ml </c:v>
                </c:pt>
                <c:pt idx="7">
                  <c:v>MioDel relax</c:v>
                </c:pt>
                <c:pt idx="8">
                  <c:v>Enterogermina Vía oral 5ml</c:v>
                </c:pt>
                <c:pt idx="9">
                  <c:v>Meloxicam 15mg (Tableta)</c:v>
                </c:pt>
              </c:strCache>
            </c:strRef>
          </c:cat>
          <c:val>
            <c:numRef>
              <c:f>Ingresos!$B$4:$B$14</c:f>
              <c:numCache>
                <c:formatCode>General</c:formatCode>
                <c:ptCount val="10"/>
                <c:pt idx="0">
                  <c:v>17.5</c:v>
                </c:pt>
                <c:pt idx="1">
                  <c:v>15</c:v>
                </c:pt>
                <c:pt idx="2">
                  <c:v>12.5</c:v>
                </c:pt>
                <c:pt idx="3">
                  <c:v>10</c:v>
                </c:pt>
                <c:pt idx="4">
                  <c:v>8.8000000000000007</c:v>
                </c:pt>
                <c:pt idx="5">
                  <c:v>6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61-47EA-9E1F-735AF6FFEA0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2064444272"/>
        <c:axId val="2076250048"/>
      </c:barChart>
      <c:catAx>
        <c:axId val="206444427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076250048"/>
        <c:crosses val="autoZero"/>
        <c:auto val="1"/>
        <c:lblAlgn val="ctr"/>
        <c:lblOffset val="100"/>
        <c:noMultiLvlLbl val="0"/>
      </c:catAx>
      <c:valAx>
        <c:axId val="2076250048"/>
        <c:scaling>
          <c:orientation val="minMax"/>
        </c:scaling>
        <c:delete val="0"/>
        <c:axPos val="t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064444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[REGISTRO DE VENTAS BOTICA DE LA CRUZ.xlsm]Tendencia!TablaDinámica1</c:name>
    <c:fmtId val="5"/>
  </c:pivotSource>
  <c:chart>
    <c:autoTitleDeleted val="1"/>
    <c:pivotFmts>
      <c:pivotFmt>
        <c:idx val="0"/>
      </c:pivotFmt>
      <c:pivotFmt>
        <c:idx val="1"/>
      </c:pivotFmt>
      <c:pivotFmt>
        <c:idx val="2"/>
        <c:spPr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numFmt formatCode="_(&quot;S/&quot;* #,##0.00_);_(&quot;S/&quot;* \(#,##0.00\);_(&quot;S/&quot;* &quot;-&quot;??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Tendencia!$B$3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numFmt formatCode="_(&quot;S/&quot;* #,##0.00_);_(&quot;S/&quot;* \(#,##0.00\);_(&quot;S/&quot;* &quot;-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Tendencia!$A$4:$A$6</c:f>
              <c:strCache>
                <c:ptCount val="2"/>
                <c:pt idx="0">
                  <c:v>Oct</c:v>
                </c:pt>
                <c:pt idx="1">
                  <c:v>Nov</c:v>
                </c:pt>
              </c:strCache>
            </c:strRef>
          </c:cat>
          <c:val>
            <c:numRef>
              <c:f>Tendencia!$B$4:$B$6</c:f>
              <c:numCache>
                <c:formatCode>General</c:formatCode>
                <c:ptCount val="2"/>
                <c:pt idx="0">
                  <c:v>102.39999999999999</c:v>
                </c:pt>
                <c:pt idx="1">
                  <c:v>6.7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0C-48B6-BBD9-76D20001BD16}"/>
            </c:ext>
          </c:extLst>
        </c:ser>
        <c:dLbls>
          <c:dLblPos val="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82547167"/>
        <c:axId val="1105349935"/>
      </c:lineChart>
      <c:catAx>
        <c:axId val="982547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105349935"/>
        <c:crosses val="autoZero"/>
        <c:auto val="1"/>
        <c:lblAlgn val="ctr"/>
        <c:lblOffset val="100"/>
        <c:noMultiLvlLbl val="0"/>
      </c:catAx>
      <c:valAx>
        <c:axId val="1105349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9825471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581025</xdr:colOff>
          <xdr:row>1</xdr:row>
          <xdr:rowOff>457200</xdr:rowOff>
        </xdr:from>
        <xdr:to>
          <xdr:col>12</xdr:col>
          <xdr:colOff>0</xdr:colOff>
          <xdr:row>3</xdr:row>
          <xdr:rowOff>28575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257175</xdr:colOff>
      <xdr:row>8</xdr:row>
      <xdr:rowOff>157162</xdr:rowOff>
    </xdr:from>
    <xdr:to>
      <xdr:col>1</xdr:col>
      <xdr:colOff>2171700</xdr:colOff>
      <xdr:row>20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2428875</xdr:colOff>
      <xdr:row>8</xdr:row>
      <xdr:rowOff>161925</xdr:rowOff>
    </xdr:from>
    <xdr:to>
      <xdr:col>2</xdr:col>
      <xdr:colOff>1219200</xdr:colOff>
      <xdr:row>20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Fecha">
              <a:extLst>
                <a:ext uri="{FF2B5EF4-FFF2-40B4-BE49-F238E27FC236}">
                  <a16:creationId xmlns:a16="http://schemas.microsoft.com/office/drawing/2014/main" id="{00000000-0008-0000-0500-00000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05275" y="1914525"/>
              <a:ext cx="1257300" cy="22574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8</xdr:col>
      <xdr:colOff>171450</xdr:colOff>
      <xdr:row>17</xdr:row>
      <xdr:rowOff>47626</xdr:rowOff>
    </xdr:from>
    <xdr:to>
      <xdr:col>10</xdr:col>
      <xdr:colOff>9525</xdr:colOff>
      <xdr:row>20</xdr:row>
      <xdr:rowOff>76200</xdr:rowOff>
    </xdr:to>
    <xdr:sp macro="[0]!ActualizarTod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0315575" y="3514726"/>
          <a:ext cx="1362075" cy="600074"/>
        </a:xfrm>
        <a:prstGeom prst="roundRect">
          <a:avLst/>
        </a:prstGeom>
        <a:solidFill>
          <a:srgbClr val="336699"/>
        </a:solidFill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400" b="1" i="0"/>
            <a:t>ACTUALIZAR</a:t>
          </a:r>
          <a:r>
            <a:rPr lang="es-PE" sz="1400" b="1" i="0" baseline="0"/>
            <a:t> DASHBOARD</a:t>
          </a:r>
          <a:endParaRPr lang="es-PE" sz="1400" b="1" i="0"/>
        </a:p>
      </xdr:txBody>
    </xdr:sp>
    <xdr:clientData/>
  </xdr:twoCellAnchor>
  <xdr:twoCellAnchor>
    <xdr:from>
      <xdr:col>2</xdr:col>
      <xdr:colOff>1771650</xdr:colOff>
      <xdr:row>8</xdr:row>
      <xdr:rowOff>76200</xdr:rowOff>
    </xdr:from>
    <xdr:to>
      <xdr:col>7</xdr:col>
      <xdr:colOff>504825</xdr:colOff>
      <xdr:row>20</xdr:row>
      <xdr:rowOff>123825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142875</xdr:colOff>
      <xdr:row>12</xdr:row>
      <xdr:rowOff>133350</xdr:rowOff>
    </xdr:from>
    <xdr:to>
      <xdr:col>10</xdr:col>
      <xdr:colOff>85725</xdr:colOff>
      <xdr:row>15</xdr:row>
      <xdr:rowOff>0</xdr:rowOff>
    </xdr:to>
    <xdr:sp macro="[0]!ExportarADashboardPDF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0287000" y="2647950"/>
          <a:ext cx="1466850" cy="43815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400" b="1"/>
            <a:t>EXPORTAR</a:t>
          </a:r>
          <a:r>
            <a:rPr lang="es-PE" sz="1400" b="1" baseline="0"/>
            <a:t> PDF</a:t>
          </a:r>
          <a:endParaRPr lang="es-PE" sz="1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LIUS" refreshedDate="45976.942739583334" missingItemsLimit="0" createdVersion="6" refreshedVersion="6" minRefreshableVersion="3" recordCount="33" xr:uid="{C8DEF1D1-3EAE-4A37-B83D-11D9DF16FFDF}">
  <cacheSource type="worksheet">
    <worksheetSource name="registro_ventas"/>
  </cacheSource>
  <cacheFields count="5">
    <cacheField name="Fecha" numFmtId="22">
      <sharedItems containsSemiMixedTypes="0" containsNonDate="0" containsDate="1" containsString="0" minDate="2025-10-21T00:00:00" maxDate="2025-11-15T22:36:07" count="8">
        <d v="2025-10-21T00:00:00"/>
        <d v="2025-10-22T00:00:00"/>
        <d v="2025-10-23T00:00:00"/>
        <d v="2025-10-25T00:00:00"/>
        <d v="2025-10-29T00:00:00"/>
        <d v="2025-11-13T21:20:40"/>
        <d v="2025-11-15T22:36:01"/>
        <d v="2025-11-15T22:36:07"/>
      </sharedItems>
      <fieldGroup base="0">
        <rangePr groupBy="months" startDate="2025-10-21T00:00:00" endDate="2025-11-15T22:36:07"/>
        <groupItems count="14">
          <s v="&lt;21/10/2025"/>
          <s v="Ene"/>
          <s v="Feb"/>
          <s v="Mar"/>
          <s v="Abr"/>
          <s v="May"/>
          <s v="Jun"/>
          <s v="Jul"/>
          <s v="Ago"/>
          <s v="Set"/>
          <s v="Oct"/>
          <s v="Nov"/>
          <s v="Dic"/>
          <s v="&gt;15/11/2025"/>
        </groupItems>
      </fieldGroup>
    </cacheField>
    <cacheField name="Producto" numFmtId="0">
      <sharedItems count="21">
        <s v="Ketorolaco 10mg (Tableta recubierta)"/>
        <s v="Lincomicina (Ampolla) 600mg / 2ml "/>
        <s v="DEXAMETASONA 4mg"/>
        <s v="DOLOCORDRALAN EXTRA FORTE NF (Cápsula)"/>
        <s v="Curitas (Bendi - C y Family Doctor)"/>
        <s v="SULFACID BALSÁMICO"/>
        <s v="Dicloxacilina 500mg - Portugal"/>
        <s v="Enterogermina Vía oral 5ml"/>
        <s v="Bismutol "/>
        <s v="HEPABIONTA Forte "/>
        <s v="Panadol Forte"/>
        <s v="Dolo Neurobion FORTE"/>
        <s v="DEXCORTIL (Ampolla) - Dexametasona fosfato 4mg / 2ml "/>
        <s v="DICOFIX (Ampolla) - Diclofenaco sódico 75mg / 3ml "/>
        <s v="MioDel relax"/>
        <s v="Buscapina Compositum N"/>
        <s v="AMOSEV-CV 625"/>
        <s v="GRIPACHECK"/>
        <s v="CHAO NF"/>
        <s v="Meloxicam 15mg (Tableta)"/>
        <s v="DAYFLU Active"/>
      </sharedItems>
    </cacheField>
    <cacheField name="Cantidad vendida" numFmtId="0">
      <sharedItems containsSemiMixedTypes="0" containsString="0" containsNumber="1" containsInteger="1" minValue="1" maxValue="6"/>
    </cacheField>
    <cacheField name="Precio unitario (S/.)" numFmtId="164">
      <sharedItems containsSemiMixedTypes="0" containsString="0" containsNumber="1" minValue="0.2" maxValue="5"/>
    </cacheField>
    <cacheField name="Total venta (S/.)" numFmtId="164">
      <sharedItems containsSemiMixedTypes="0" containsString="0" containsNumber="1" minValue="0.2" maxValue="17.5"/>
    </cacheField>
  </cacheFields>
  <extLst>
    <ext xmlns:x14="http://schemas.microsoft.com/office/spreadsheetml/2009/9/main" uri="{725AE2AE-9491-48be-B2B4-4EB974FC3084}">
      <x14:pivotCacheDefinition pivotCacheId="36034618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LIUS" refreshedDate="45976.942740625003" createdVersion="6" refreshedVersion="6" minRefreshableVersion="3" recordCount="168" xr:uid="{BEA929DE-217D-4E25-9C37-B024AD76DA2B}">
  <cacheSource type="worksheet">
    <worksheetSource name="registro_inventario"/>
  </cacheSource>
  <cacheFields count="5">
    <cacheField name="Categoría" numFmtId="0">
      <sharedItems/>
    </cacheField>
    <cacheField name="Nombre del producto" numFmtId="0">
      <sharedItems/>
    </cacheField>
    <cacheField name="Precio" numFmtId="164">
      <sharedItems containsSemiMixedTypes="0" containsString="0" containsNumber="1" minValue="0.2" maxValue="20"/>
    </cacheField>
    <cacheField name="Stock" numFmtId="0">
      <sharedItems containsSemiMixedTypes="0" containsString="0" containsNumber="1" containsInteger="1" minValue="0" maxValue="370" count="81">
        <n v="40"/>
        <n v="19"/>
        <n v="26"/>
        <n v="63"/>
        <n v="64"/>
        <n v="71"/>
        <n v="85"/>
        <n v="91"/>
        <n v="17"/>
        <n v="3"/>
        <n v="87"/>
        <n v="25"/>
        <n v="42"/>
        <n v="56"/>
        <n v="22"/>
        <n v="18"/>
        <n v="7"/>
        <n v="5"/>
        <n v="6"/>
        <n v="2"/>
        <n v="12"/>
        <n v="50"/>
        <n v="21"/>
        <n v="27"/>
        <n v="99"/>
        <n v="38"/>
        <n v="54"/>
        <n v="48"/>
        <n v="16"/>
        <n v="370"/>
        <n v="51"/>
        <n v="62"/>
        <n v="169"/>
        <n v="4"/>
        <n v="93"/>
        <n v="15"/>
        <n v="46"/>
        <n v="125"/>
        <n v="60"/>
        <n v="141"/>
        <n v="65"/>
        <n v="96"/>
        <n v="24"/>
        <n v="97"/>
        <n v="108"/>
        <n v="98"/>
        <n v="9"/>
        <n v="120"/>
        <n v="84"/>
        <n v="52"/>
        <n v="235"/>
        <n v="73"/>
        <n v="95"/>
        <n v="39"/>
        <n v="44"/>
        <n v="8"/>
        <n v="41"/>
        <n v="57"/>
        <n v="1"/>
        <n v="0"/>
        <n v="69"/>
        <n v="192"/>
        <n v="30"/>
        <n v="36"/>
        <n v="180"/>
        <n v="68"/>
        <n v="198"/>
        <n v="196"/>
        <n v="105"/>
        <n v="81"/>
        <n v="43"/>
        <n v="86"/>
        <n v="13"/>
        <n v="151"/>
        <n v="138"/>
        <n v="32"/>
        <n v="113"/>
        <n v="162"/>
        <n v="100"/>
        <n v="321"/>
        <n v="61" u="1"/>
      </sharedItems>
    </cacheField>
    <cacheField name="Estado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x v="0"/>
    <x v="0"/>
    <n v="2"/>
    <n v="0.5"/>
    <n v="1"/>
  </r>
  <r>
    <x v="1"/>
    <x v="1"/>
    <n v="1"/>
    <n v="5"/>
    <n v="5"/>
  </r>
  <r>
    <x v="1"/>
    <x v="2"/>
    <n v="1"/>
    <n v="0.5"/>
    <n v="0.5"/>
  </r>
  <r>
    <x v="1"/>
    <x v="3"/>
    <n v="1"/>
    <n v="2.5"/>
    <n v="2.5"/>
  </r>
  <r>
    <x v="1"/>
    <x v="4"/>
    <n v="1"/>
    <n v="0.2"/>
    <n v="0.2"/>
  </r>
  <r>
    <x v="1"/>
    <x v="3"/>
    <n v="1"/>
    <n v="2.5"/>
    <n v="2.5"/>
  </r>
  <r>
    <x v="1"/>
    <x v="5"/>
    <n v="1"/>
    <n v="2"/>
    <n v="2"/>
  </r>
  <r>
    <x v="1"/>
    <x v="6"/>
    <n v="1"/>
    <n v="1.2"/>
    <n v="1.2"/>
  </r>
  <r>
    <x v="1"/>
    <x v="4"/>
    <n v="1"/>
    <n v="0.2"/>
    <n v="0.2"/>
  </r>
  <r>
    <x v="1"/>
    <x v="7"/>
    <n v="1"/>
    <n v="5"/>
    <n v="5"/>
  </r>
  <r>
    <x v="1"/>
    <x v="8"/>
    <n v="1"/>
    <n v="2"/>
    <n v="2"/>
  </r>
  <r>
    <x v="2"/>
    <x v="9"/>
    <n v="2"/>
    <n v="3"/>
    <n v="6"/>
  </r>
  <r>
    <x v="2"/>
    <x v="10"/>
    <n v="1"/>
    <n v="2.5"/>
    <n v="2.5"/>
  </r>
  <r>
    <x v="2"/>
    <x v="11"/>
    <n v="5"/>
    <n v="3.5"/>
    <n v="17.5"/>
  </r>
  <r>
    <x v="2"/>
    <x v="12"/>
    <n v="2"/>
    <n v="5"/>
    <n v="10"/>
  </r>
  <r>
    <x v="2"/>
    <x v="13"/>
    <n v="2"/>
    <n v="5"/>
    <n v="10"/>
  </r>
  <r>
    <x v="2"/>
    <x v="14"/>
    <n v="1"/>
    <n v="2.5"/>
    <n v="2.5"/>
  </r>
  <r>
    <x v="2"/>
    <x v="0"/>
    <n v="1"/>
    <n v="0.5"/>
    <n v="0.5"/>
  </r>
  <r>
    <x v="2"/>
    <x v="3"/>
    <n v="1"/>
    <n v="2.5"/>
    <n v="2.5"/>
  </r>
  <r>
    <x v="2"/>
    <x v="6"/>
    <n v="1"/>
    <n v="1.2"/>
    <n v="1.2"/>
  </r>
  <r>
    <x v="3"/>
    <x v="15"/>
    <n v="1"/>
    <n v="2"/>
    <n v="2"/>
  </r>
  <r>
    <x v="3"/>
    <x v="16"/>
    <n v="3"/>
    <n v="2.2000000000000002"/>
    <n v="6.6000000000000005"/>
  </r>
  <r>
    <x v="3"/>
    <x v="17"/>
    <n v="1"/>
    <n v="2"/>
    <n v="2"/>
  </r>
  <r>
    <x v="3"/>
    <x v="2"/>
    <n v="2"/>
    <n v="0.5"/>
    <n v="1"/>
  </r>
  <r>
    <x v="4"/>
    <x v="18"/>
    <n v="1"/>
    <n v="2.5"/>
    <n v="2.5"/>
  </r>
  <r>
    <x v="4"/>
    <x v="19"/>
    <n v="6"/>
    <n v="0.5"/>
    <n v="3"/>
  </r>
  <r>
    <x v="4"/>
    <x v="3"/>
    <n v="1"/>
    <n v="2.5"/>
    <n v="2.5"/>
  </r>
  <r>
    <x v="4"/>
    <x v="2"/>
    <n v="1"/>
    <n v="0.5"/>
    <n v="0.5"/>
  </r>
  <r>
    <x v="4"/>
    <x v="14"/>
    <n v="1"/>
    <n v="2.5"/>
    <n v="2.5"/>
  </r>
  <r>
    <x v="4"/>
    <x v="13"/>
    <n v="1"/>
    <n v="5"/>
    <n v="5"/>
  </r>
  <r>
    <x v="5"/>
    <x v="20"/>
    <n v="1"/>
    <n v="2"/>
    <n v="2"/>
  </r>
  <r>
    <x v="6"/>
    <x v="3"/>
    <n v="1"/>
    <n v="2.5"/>
    <n v="2.5"/>
  </r>
  <r>
    <x v="7"/>
    <x v="16"/>
    <n v="1"/>
    <n v="2.2000000000000002"/>
    <n v="2.200000000000000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8">
  <r>
    <s v="Analgesia / Dolor de cabeza"/>
    <s v="Kitadol Migraña "/>
    <n v="5"/>
    <x v="0"/>
    <s v="OK"/>
  </r>
  <r>
    <s v="Analgesia / Dolor de cabeza"/>
    <s v="Panadol Forte"/>
    <n v="2.5"/>
    <x v="1"/>
    <s v="OK"/>
  </r>
  <r>
    <s v="Analgesia / Dolor de cabeza"/>
    <s v="Migralivia"/>
    <n v="1.5"/>
    <x v="2"/>
    <s v="OK"/>
  </r>
  <r>
    <s v="Analgesia / Dolor de cabeza"/>
    <s v="Dolonet Forte"/>
    <n v="1.5"/>
    <x v="3"/>
    <s v="OK"/>
  </r>
  <r>
    <s v="Analgesia / Dolor de cabeza"/>
    <s v="Extindol (Paracetamol 1g)"/>
    <n v="2"/>
    <x v="4"/>
    <s v="OK"/>
  </r>
  <r>
    <s v="Analgesia / Dolor de cabeza"/>
    <s v="Bio Electro"/>
    <n v="2"/>
    <x v="5"/>
    <s v="OK"/>
  </r>
  <r>
    <s v="Antibiótico"/>
    <s v="Ciprofloxacino 500mg"/>
    <n v="1.2"/>
    <x v="6"/>
    <s v="OK"/>
  </r>
  <r>
    <s v="Antifúngico"/>
    <s v="Fluconazol (150 mg) - PORTUGAL"/>
    <n v="1"/>
    <x v="7"/>
    <s v="OK"/>
  </r>
  <r>
    <s v="Antifúngico"/>
    <s v="Fluconazol Cápsula - 150mg"/>
    <n v="5"/>
    <x v="8"/>
    <s v="OK"/>
  </r>
  <r>
    <s v="Antifúngico / Ginecológico"/>
    <s v="Metrofem OVULOS"/>
    <n v="7"/>
    <x v="9"/>
    <s v="BAJO"/>
  </r>
  <r>
    <s v="Antifúngico / Ginecológico"/>
    <s v="Gynomax NF"/>
    <n v="7"/>
    <x v="9"/>
    <s v="BAJO"/>
  </r>
  <r>
    <s v="Antigripal / Pediátrico"/>
    <s v="Nastizol Junior "/>
    <n v="1.5"/>
    <x v="10"/>
    <s v="OK"/>
  </r>
  <r>
    <s v="Antigripal"/>
    <s v="Nastizol Forte"/>
    <n v="2.5"/>
    <x v="11"/>
    <s v="OK"/>
  </r>
  <r>
    <s v="Suplemento / Calcio y Vitamina D"/>
    <s v="Caltracid - D"/>
    <n v="1.2"/>
    <x v="12"/>
    <s v="OK"/>
  </r>
  <r>
    <s v="Antialérgico"/>
    <s v="Alerliv"/>
    <n v="1"/>
    <x v="13"/>
    <s v="OK"/>
  </r>
  <r>
    <s v="Antigripal / Resfrío común"/>
    <s v="Gripa C"/>
    <n v="1"/>
    <x v="14"/>
    <s v="OK"/>
  </r>
  <r>
    <s v="Suplemento mineral"/>
    <s v="Magnesol Naranja"/>
    <n v="2"/>
    <x v="15"/>
    <s v="OK"/>
  </r>
  <r>
    <s v="Suplemento mineral"/>
    <s v="Magnesol Azul"/>
    <n v="1.5"/>
    <x v="16"/>
    <s v="BAJO"/>
  </r>
  <r>
    <s v="Suplemento vitamínico / Vitamina C"/>
    <s v="Efer - C"/>
    <n v="1"/>
    <x v="17"/>
    <s v="BAJO"/>
  </r>
  <r>
    <s v="Prueba rápida"/>
    <s v="BabyTest"/>
    <n v="5"/>
    <x v="18"/>
    <s v="BAJO"/>
  </r>
  <r>
    <s v="Anticonceptivo oral / Emergencia"/>
    <s v="Norifarm"/>
    <n v="16"/>
    <x v="19"/>
    <s v="BAJO"/>
  </r>
  <r>
    <s v="Potenciador sexual masculino"/>
    <s v="SexiUltra"/>
    <n v="15"/>
    <x v="20"/>
    <s v="OK"/>
  </r>
  <r>
    <s v="Regulador hormonal / Anticonceptivo"/>
    <s v="DIVINA"/>
    <n v="10"/>
    <x v="18"/>
    <s v="BAJO"/>
  </r>
  <r>
    <s v="Ampolla"/>
    <s v="DROKSE"/>
    <n v="18"/>
    <x v="19"/>
    <s v="BAJO"/>
  </r>
  <r>
    <s v="Preservativo"/>
    <s v="Preservativo Piel SENSITIVO"/>
    <n v="5"/>
    <x v="21"/>
    <s v="OK"/>
  </r>
  <r>
    <s v="Preservativo"/>
    <s v="Preservativo LEGEND"/>
    <n v="4"/>
    <x v="22"/>
    <s v="OK"/>
  </r>
  <r>
    <s v="Antigripal"/>
    <s v="Dexabron Plus ANTIGRIPAL"/>
    <n v="2"/>
    <x v="14"/>
    <s v="OK"/>
  </r>
  <r>
    <s v="Antigripal"/>
    <s v="VICK VitaPyrena Forte"/>
    <n v="3.5"/>
    <x v="23"/>
    <s v="OK"/>
  </r>
  <r>
    <s v="Antigripal"/>
    <s v="DAYFLU Active"/>
    <n v="2"/>
    <x v="24"/>
    <s v="OK"/>
  </r>
  <r>
    <s v="Antigripal"/>
    <s v="Panadol ANTIGRIPAL NF"/>
    <n v="3.5"/>
    <x v="25"/>
    <s v="OK"/>
  </r>
  <r>
    <s v="Antigripal"/>
    <s v="GRIPACHECK"/>
    <n v="2"/>
    <x v="26"/>
    <s v="OK"/>
  </r>
  <r>
    <s v="Antigripal"/>
    <s v="CHAO NF"/>
    <n v="2.5"/>
    <x v="11"/>
    <s v="OK"/>
  </r>
  <r>
    <s v="Antigripal"/>
    <s v="ANTIGRIPINA PLUS"/>
    <n v="2"/>
    <x v="27"/>
    <s v="OK"/>
  </r>
  <r>
    <s v="Analgesia / Dolor de garganta"/>
    <s v="MULTI-BIOTICOS (CARAMELOS)"/>
    <n v="3.5"/>
    <x v="28"/>
    <s v="OK"/>
  </r>
  <r>
    <s v="Antialérgico"/>
    <s v="Clorfenamina Maleato 4mg"/>
    <n v="0.3"/>
    <x v="29"/>
    <s v="OK"/>
  </r>
  <r>
    <s v="Antialérgico"/>
    <s v="Neoalergine Plus"/>
    <n v="1"/>
    <x v="4"/>
    <s v="OK"/>
  </r>
  <r>
    <s v="Antialérgico"/>
    <s v="ALERCHECK PLUS"/>
    <n v="1"/>
    <x v="30"/>
    <s v="OK"/>
  </r>
  <r>
    <s v="Antialérgico"/>
    <s v="Cetirizina 10mg"/>
    <n v="0.5"/>
    <x v="6"/>
    <s v="OK"/>
  </r>
  <r>
    <s v="Antialérgico"/>
    <s v="Loratadina 10mg BLISTER"/>
    <n v="0.3"/>
    <x v="31"/>
    <s v="OK"/>
  </r>
  <r>
    <s v="Vitaminas"/>
    <s v="Complejo B"/>
    <n v="0.5"/>
    <x v="32"/>
    <s v="OK"/>
  </r>
  <r>
    <s v="Antibiótico"/>
    <s v="CIPROXINA 500 (Ciprofloxacino 500mg)"/>
    <n v="1.2"/>
    <x v="33"/>
    <s v="BAJO"/>
  </r>
  <r>
    <s v="Tópico"/>
    <s v="LIPSALIV (Mantequilla de cacao)"/>
    <n v="1"/>
    <x v="4"/>
    <s v="OK"/>
  </r>
  <r>
    <s v="Relajante muscular"/>
    <s v="MioDel relax"/>
    <n v="2.5"/>
    <x v="34"/>
    <s v="OK"/>
  </r>
  <r>
    <s v="Anti inflamatorio"/>
    <s v="DOLO DOLFENEX FORTE"/>
    <n v="2"/>
    <x v="35"/>
    <s v="OK"/>
  </r>
  <r>
    <s v="Anti inflamatorio"/>
    <s v="APRONAX 550mg"/>
    <n v="2.5"/>
    <x v="36"/>
    <s v="OK"/>
  </r>
  <r>
    <s v="Anti inflamatorio"/>
    <s v="Alliviax 550mg"/>
    <n v="2"/>
    <x v="23"/>
    <s v="OK"/>
  </r>
  <r>
    <s v="Anti inflamatorio"/>
    <s v="DOLO Neuropress FORTE"/>
    <n v="2"/>
    <x v="12"/>
    <s v="OK"/>
  </r>
  <r>
    <s v="Anti inflamatorio"/>
    <s v="Doloibupress FORTE"/>
    <n v="2"/>
    <x v="37"/>
    <s v="OK"/>
  </r>
  <r>
    <s v="Analgésico"/>
    <s v="DUORELAX"/>
    <n v="2.2999999999999998"/>
    <x v="11"/>
    <s v="OK"/>
  </r>
  <r>
    <s v="Relajante muscular"/>
    <s v="ORFENADRINA 100mg"/>
    <n v="1"/>
    <x v="7"/>
    <s v="OK"/>
  </r>
  <r>
    <s v="Relajante muscular"/>
    <s v="DOLOCORDRALAN EXTRA FORTE NF (Cápsula)"/>
    <n v="2.5"/>
    <x v="38"/>
    <s v="OK"/>
  </r>
  <r>
    <s v="Anti inflamatorio"/>
    <s v="DEXAMETASONA 4mg"/>
    <n v="0.5"/>
    <x v="39"/>
    <s v="OK"/>
  </r>
  <r>
    <s v="Anti inflamatorio"/>
    <s v="Dolo Neurobion FORTE"/>
    <n v="3.5"/>
    <x v="5"/>
    <s v="OK"/>
  </r>
  <r>
    <s v="Expectorante"/>
    <s v="BRONCOPHAR PLUS"/>
    <n v="1.5"/>
    <x v="40"/>
    <s v="OK"/>
  </r>
  <r>
    <s v="Antibiótico"/>
    <s v="AMOSEV-CV 625"/>
    <n v="2.2000000000000002"/>
    <x v="41"/>
    <s v="OK"/>
  </r>
  <r>
    <s v="Antibiótico"/>
    <s v="SULFACID BALSÁMICO"/>
    <n v="2"/>
    <x v="42"/>
    <s v="OK"/>
  </r>
  <r>
    <s v="Antibiótico"/>
    <s v="Amoxicilina 500mg (Cápsula)"/>
    <n v="0.5"/>
    <x v="43"/>
    <s v="OK"/>
  </r>
  <r>
    <s v="Antibiótico"/>
    <s v="Amoxicilina 500mg (Tableta recubierta)"/>
    <n v="0.5"/>
    <x v="44"/>
    <s v="OK"/>
  </r>
  <r>
    <s v="Antibiótico"/>
    <s v="Bronco Magnimox 500"/>
    <n v="2"/>
    <x v="16"/>
    <s v="BAJO"/>
  </r>
  <r>
    <s v="Anti inflamatorio"/>
    <s v="Meloxicam 15mg (Tableta)"/>
    <n v="0.5"/>
    <x v="45"/>
    <s v="OK"/>
  </r>
  <r>
    <s v="Antibiótico"/>
    <s v="AZITROMICINA 500mg (Tableta)"/>
    <n v="1.7"/>
    <x v="46"/>
    <s v="BAJO"/>
  </r>
  <r>
    <s v="Anti inflamatorio"/>
    <s v="DICLOFENACO 50mg"/>
    <n v="0.5"/>
    <x v="47"/>
    <s v="OK"/>
  </r>
  <r>
    <s v="Anti inflamatorio"/>
    <s v="DICLOFENACO 100mg"/>
    <n v="0.5"/>
    <x v="48"/>
    <s v="OK"/>
  </r>
  <r>
    <s v="Analgésico"/>
    <s v="TRAMADOL 50mg"/>
    <n v="1"/>
    <x v="49"/>
    <s v="OK"/>
  </r>
  <r>
    <s v="Anti inflamatorio"/>
    <s v="Ketorolaco 10mg (Tableta recubierta)"/>
    <n v="0.5"/>
    <x v="50"/>
    <s v="OK"/>
  </r>
  <r>
    <s v="Anti inflamatorio"/>
    <s v="Ketoprofeno 100mg"/>
    <n v="1"/>
    <x v="51"/>
    <s v="OK"/>
  </r>
  <r>
    <s v="Anti inflamatorio"/>
    <s v="Naproxeno Sódico 550mg - Portugal"/>
    <n v="0.6"/>
    <x v="52"/>
    <s v="OK"/>
  </r>
  <r>
    <s v="Anti inflamatorio"/>
    <s v="Naproxeno Sódico 550mg - Farmindustria"/>
    <n v="0.6"/>
    <x v="53"/>
    <s v="OK"/>
  </r>
  <r>
    <s v="Antibiótico"/>
    <s v="CEFALEXINA 500mg (Cápsula)"/>
    <n v="1"/>
    <x v="54"/>
    <s v="OK"/>
  </r>
  <r>
    <s v="Anti histamínicos"/>
    <s v="Clorfenamina (Ampolla) 10mg / 1ml "/>
    <n v="3"/>
    <x v="16"/>
    <s v="BAJO"/>
  </r>
  <r>
    <s v="Antibiótico"/>
    <s v="Amikacina 500mg / 2ml (Ampolla) - Pharmagenérico"/>
    <n v="8"/>
    <x v="55"/>
    <s v="BAJO"/>
  </r>
  <r>
    <s v="Anti histamínicos"/>
    <s v="Clorfedan (Ampolla) 10mg / ml"/>
    <n v="3"/>
    <x v="55"/>
    <s v="BAJO"/>
  </r>
  <r>
    <s v="Anti inflamatorio"/>
    <s v="DEXCORTIL (Ampolla) - Dexametasona fosfato 4mg / 2ml "/>
    <n v="5"/>
    <x v="56"/>
    <s v="OK"/>
  </r>
  <r>
    <s v="Anti inflamatorio"/>
    <s v="DICOFIX (Ampolla) - Diclofenaco sódico 75mg / 3ml "/>
    <n v="5"/>
    <x v="11"/>
    <s v="OK"/>
  </r>
  <r>
    <s v="Antibiótico"/>
    <s v="LINCOMAX (Lincomicina) 600mg / 2ml"/>
    <n v="5"/>
    <x v="57"/>
    <s v="OK"/>
  </r>
  <r>
    <s v="Analgésico"/>
    <s v="Paracetamol (Gotas) - 100mg / 10ml "/>
    <n v="5"/>
    <x v="33"/>
    <s v="BAJO"/>
  </r>
  <r>
    <s v="Antibiótico"/>
    <s v="GENTAMICINA 0,3% (Gotas)"/>
    <n v="8"/>
    <x v="17"/>
    <s v="BAJO"/>
  </r>
  <r>
    <s v="Broncodilatadores"/>
    <s v="SALBUTAMOL (Aerosol) 100mcg/dosis "/>
    <n v="14"/>
    <x v="58"/>
    <s v="BAJO"/>
  </r>
  <r>
    <s v="Antibiótico"/>
    <s v="Rylamax (Polvo para disolver) - Ceftriaxona 1g "/>
    <n v="15"/>
    <x v="17"/>
    <s v="BAJO"/>
  </r>
  <r>
    <s v="Anti bacteriano"/>
    <s v="Cafazolbac (Polvo para ampolla) - Ceftriaxona 1g "/>
    <n v="15"/>
    <x v="28"/>
    <s v="OK"/>
  </r>
  <r>
    <s v="Expectorante"/>
    <s v="PALATOX FORTE (Jarabe)"/>
    <n v="13"/>
    <x v="59"/>
    <s v="BAJO"/>
  </r>
  <r>
    <s v="Anti inflamatorio"/>
    <s v="Celecoxib 200mg (Cápsulas)"/>
    <n v="1"/>
    <x v="57"/>
    <s v="OK"/>
  </r>
  <r>
    <s v="Anti inflamatorio"/>
    <s v="Ketoprofeno (Ampolla) 100mg / 2ml  - Genfar"/>
    <n v="5"/>
    <x v="58"/>
    <s v="BAJO"/>
  </r>
  <r>
    <s v="Antibiótico"/>
    <s v="Gentamicina (Ampolla) 160mg / 2ml  - Farmindustria"/>
    <n v="5"/>
    <x v="11"/>
    <s v="OK"/>
  </r>
  <r>
    <s v="Antiespasmódico"/>
    <s v="N-BUTILBROMURO DE HIOSCINA (Ampolla) 20mg / ml "/>
    <n v="5"/>
    <x v="60"/>
    <s v="OK"/>
  </r>
  <r>
    <s v="Anti bacteriano"/>
    <s v="Lincomicina (Ampolla) 600mg / 2ml "/>
    <n v="5"/>
    <x v="46"/>
    <s v="BAJO"/>
  </r>
  <r>
    <s v="Anti bacteriano"/>
    <s v="Amikacina (Ampolla) 500mg / 2ml - Vitalis"/>
    <n v="5"/>
    <x v="20"/>
    <s v="OK"/>
  </r>
  <r>
    <s v="Fiebre"/>
    <s v="Repriman (Jarabe) 250mg / 5ml - QUILAB"/>
    <n v="16"/>
    <x v="33"/>
    <s v="BAJO"/>
  </r>
  <r>
    <s v="Analgésico"/>
    <s v="Dolol (Paracetamol - Jarabe) 160mg / 5ml "/>
    <n v="7"/>
    <x v="58"/>
    <s v="BAJO"/>
  </r>
  <r>
    <s v="Analgésico"/>
    <s v="Dolol (Gotas) - Paracetamol 100mg / ml "/>
    <n v="5"/>
    <x v="17"/>
    <s v="BAJO"/>
  </r>
  <r>
    <s v="Broncodilatadores"/>
    <s v="BRONCOPHAR (Jarabe) PLUS 120ml"/>
    <n v="18"/>
    <x v="58"/>
    <s v="BAJO"/>
  </r>
  <r>
    <s v="Analgésico"/>
    <s v="Ibuprofeno (Jarabe) 100mg / 5ml - Genfar"/>
    <n v="8"/>
    <x v="9"/>
    <s v="BAJO"/>
  </r>
  <r>
    <s v="Analgésico"/>
    <s v="Paracetamol (Jarabe) 160mg / 5ml - Genfar"/>
    <n v="10"/>
    <x v="16"/>
    <s v="BAJO"/>
  </r>
  <r>
    <s v="Anti bacteriano"/>
    <s v="Cefalexina (Polvo) 250mg / 5ml - Farmindustria"/>
    <n v="10"/>
    <x v="58"/>
    <s v="BAJO"/>
  </r>
  <r>
    <s v="Anti bacteriano"/>
    <s v="Clavutrim (Polvo) - Amoxicilina 250mg / 5ml "/>
    <n v="10"/>
    <x v="58"/>
    <s v="BAJO"/>
  </r>
  <r>
    <s v="Anti bacteriano"/>
    <s v="Cefalexina 250mg / 5ml (Polvo) - Genfar"/>
    <n v="14"/>
    <x v="16"/>
    <s v="BAJO"/>
  </r>
  <r>
    <s v="Anti bacteriano"/>
    <s v="Dólatrim Pediátrico 60ml (Suspensión oral) "/>
    <n v="18"/>
    <x v="19"/>
    <s v="BAJO"/>
  </r>
  <r>
    <s v="Anti bacteriano"/>
    <s v="ZITROPHAR 200mg / 5ml (Polvo)"/>
    <n v="18"/>
    <x v="33"/>
    <s v="BAJO"/>
  </r>
  <r>
    <s v="Anti bacteriano"/>
    <s v="BRONCO VELAMOX 60ml"/>
    <n v="20"/>
    <x v="33"/>
    <s v="BAJO"/>
  </r>
  <r>
    <s v="Anti bacteriano"/>
    <s v="Amoxicilina (Polvo) 250mg / 5ml - Portugal"/>
    <n v="9"/>
    <x v="17"/>
    <s v="BAJO"/>
  </r>
  <r>
    <s v="Antitusivos"/>
    <s v="Dextrometorfano (Solución oral) 15mg / 5ml - Portugal"/>
    <n v="6"/>
    <x v="17"/>
    <s v="BAJO"/>
  </r>
  <r>
    <s v="Mucolítico"/>
    <s v="Ambroxol (Solución oral) 30mg / 5ml - Portugal"/>
    <n v="9"/>
    <x v="16"/>
    <s v="BAJO"/>
  </r>
  <r>
    <s v="Corticosteroides"/>
    <s v="Prednisona (Solución oral) 5mg / 5ml - Portugal"/>
    <n v="6"/>
    <x v="18"/>
    <s v="BAJO"/>
  </r>
  <r>
    <s v="AINE"/>
    <s v="Ibuprofeno (Suspensión oral) 100mg / 5ml - Portugal"/>
    <n v="5"/>
    <x v="18"/>
    <s v="BAJO"/>
  </r>
  <r>
    <s v="Anti bacteriano"/>
    <s v="Furazolidona (Suspensión oral) 50mg / 5ml - Portugal"/>
    <n v="13"/>
    <x v="19"/>
    <s v="BAJO"/>
  </r>
  <r>
    <s v="Anti histamínicos"/>
    <s v="Clorfenamina Maleato (Solución oral) 2mg / 5ml - Portugal"/>
    <n v="5"/>
    <x v="58"/>
    <s v="BAJO"/>
  </r>
  <r>
    <s v="Analgésico"/>
    <s v="Paracetamol 500mg - Genfar"/>
    <n v="0.5"/>
    <x v="61"/>
    <s v="OK"/>
  </r>
  <r>
    <s v="Antipsicótico"/>
    <s v="Repriman (Metamizol sódico monohidrato 500mg) - Quilab"/>
    <n v="1"/>
    <x v="10"/>
    <s v="OK"/>
  </r>
  <r>
    <s v="AINE"/>
    <s v="Ibuprofeno 400mg - Genfar"/>
    <n v="0.5"/>
    <x v="39"/>
    <s v="OK"/>
  </r>
  <r>
    <s v="Dispositivo médico"/>
    <s v="Termómetro digital"/>
    <n v="15"/>
    <x v="19"/>
    <s v="BAJO"/>
  </r>
  <r>
    <s v="Anti inflamatorio"/>
    <s v="DICLOFENACO 1% GEL 50g - Genfar"/>
    <n v="12"/>
    <x v="20"/>
    <s v="OK"/>
  </r>
  <r>
    <s v="Anti inflamatorio"/>
    <s v="DICLOFENACO 1% GEL 50g - Farmindustria"/>
    <n v="10"/>
    <x v="33"/>
    <s v="BAJO"/>
  </r>
  <r>
    <s v="Anti bacteriano"/>
    <s v="Portil NF (Crema) 20g - Sanfer"/>
    <n v="10"/>
    <x v="46"/>
    <s v="BAJO"/>
  </r>
  <r>
    <s v="Cuidado de la piel"/>
    <s v="Topicrem Crema 10g - Hersil"/>
    <n v="15"/>
    <x v="18"/>
    <s v="BAJO"/>
  </r>
  <r>
    <s v="Anti inflamatorio"/>
    <s v="Diclofenaco 1% Gel 50g - Portugal"/>
    <n v="8"/>
    <x v="58"/>
    <s v="BAJO"/>
  </r>
  <r>
    <s v="Corticosteroides"/>
    <s v="Betametasona (Crema) 0,05% 20g - Farmindustria"/>
    <n v="6"/>
    <x v="33"/>
    <s v="BAJO"/>
  </r>
  <r>
    <s v="Antifúngico"/>
    <s v="Clotrimazol (Crema) 1% - Portugal"/>
    <n v="5"/>
    <x v="19"/>
    <s v="BAJO"/>
  </r>
  <r>
    <s v="Sulfonamida"/>
    <s v="Sulfadiazina de Plata (Crema) 1% - Genfar "/>
    <n v="13"/>
    <x v="19"/>
    <s v="BAJO"/>
  </r>
  <r>
    <s v="Vitaminas"/>
    <s v="LIVOLIN Forte "/>
    <n v="2.8"/>
    <x v="36"/>
    <s v="OK"/>
  </r>
  <r>
    <s v="Intoxicación"/>
    <s v="HEPABIONTA Forte "/>
    <n v="3"/>
    <x v="20"/>
    <s v="OK"/>
  </r>
  <r>
    <s v="Vitaminas"/>
    <s v="Tioctan FUERTE"/>
    <n v="2"/>
    <x v="33"/>
    <s v="BAJO"/>
  </r>
  <r>
    <s v="Probiótico"/>
    <s v="Enterogermina Vía oral 5ml"/>
    <n v="5"/>
    <x v="46"/>
    <s v="BAJO"/>
  </r>
  <r>
    <s v="Suplemento"/>
    <s v="Frutenzima cápsula"/>
    <n v="2.5"/>
    <x v="62"/>
    <s v="OK"/>
  </r>
  <r>
    <s v="Salicilatos"/>
    <s v="ASPIRINA 100"/>
    <n v="2"/>
    <x v="63"/>
    <s v="OK"/>
  </r>
  <r>
    <s v="Analgésico"/>
    <s v="Metamizol Sódico (Ampolla) 1g / 2ml"/>
    <n v="6.5"/>
    <x v="55"/>
    <s v="BAJO"/>
  </r>
  <r>
    <s v="Cardiovascular (Hipertensión)"/>
    <s v="Amlodipino 5mg - Portugal"/>
    <n v="0.5"/>
    <x v="64"/>
    <s v="OK"/>
  </r>
  <r>
    <s v="Cardiovascular (Colesterol)"/>
    <s v="Atorvastatina 20mg - Portugal"/>
    <n v="0.3"/>
    <x v="65"/>
    <s v="OK"/>
  </r>
  <r>
    <s v="Cardiovascular (Hipertensión)"/>
    <s v="CAPTOPRIL 25mg - IQFARMA"/>
    <n v="0.3"/>
    <x v="17"/>
    <s v="BAJO"/>
  </r>
  <r>
    <s v="Cardiovascular (Hipertensión)"/>
    <s v="Captopril 25mg - Portugal"/>
    <n v="0.3"/>
    <x v="66"/>
    <s v="OK"/>
  </r>
  <r>
    <s v="Anti inflamatorio"/>
    <s v="Prednisona 5mg - Portugal"/>
    <n v="0.3"/>
    <x v="67"/>
    <s v="OK"/>
  </r>
  <r>
    <s v="Antibiótico"/>
    <s v="Ampicilina 500mg - Portugal"/>
    <n v="1"/>
    <x v="53"/>
    <s v="OK"/>
  </r>
  <r>
    <s v="Antibiótico"/>
    <s v="Dicloxacilina 500mg - Portugal"/>
    <n v="1.2"/>
    <x v="68"/>
    <s v="OK"/>
  </r>
  <r>
    <s v="Gastrointestinal"/>
    <s v="Omeprazol 20mg - Portugal"/>
    <n v="0.5"/>
    <x v="4"/>
    <s v="OK"/>
  </r>
  <r>
    <s v="Cardiovascular (Hipertensión)"/>
    <s v="NISOPLUS 20"/>
    <n v="1"/>
    <x v="69"/>
    <s v="OK"/>
  </r>
  <r>
    <s v="Antiespasmódico"/>
    <s v="Plidan Compuesto NF - Megalabs"/>
    <n v="2"/>
    <x v="15"/>
    <s v="OK"/>
  </r>
  <r>
    <s v="Gastrointestinal"/>
    <s v="GRAVOL - Medifarma"/>
    <n v="2"/>
    <x v="70"/>
    <s v="OK"/>
  </r>
  <r>
    <s v="Gastrointestinal"/>
    <s v="DONAFAN Forte - ANSOLAT"/>
    <n v="2"/>
    <x v="71"/>
    <s v="OK"/>
  </r>
  <r>
    <s v="Gastrointestinal"/>
    <s v="Toban F Loperamida 2mg - Eurofarma"/>
    <n v="1.5"/>
    <x v="72"/>
    <s v="OK"/>
  </r>
  <r>
    <s v="AINE"/>
    <s v="Ponstan"/>
    <n v="1.5"/>
    <x v="15"/>
    <s v="OK"/>
  </r>
  <r>
    <s v="Antiespasmódico"/>
    <s v="Buscapina Compositum N"/>
    <n v="2"/>
    <x v="25"/>
    <s v="OK"/>
  </r>
  <r>
    <s v="Gastrointestinal (Antiflatulento)"/>
    <s v="GASEOVET - Medifarma"/>
    <n v="2.5"/>
    <x v="72"/>
    <s v="OK"/>
  </r>
  <r>
    <s v="Gastrointestinal (Antiácido/Protector)"/>
    <s v="Sulfacid FORTE"/>
    <n v="2"/>
    <x v="73"/>
    <s v="OK"/>
  </r>
  <r>
    <s v="Gastrointestinal (Laxante)"/>
    <s v="Dulcolax Bisacodilo 5mg"/>
    <n v="2"/>
    <x v="0"/>
    <s v="OK"/>
  </r>
  <r>
    <s v="Gastrointestinal (Laxante)"/>
    <s v="Evakua Perlas"/>
    <n v="1"/>
    <x v="3"/>
    <s v="OK"/>
  </r>
  <r>
    <s v="Gastrointestinal (Laxante)"/>
    <s v="3 - Gel"/>
    <n v="3"/>
    <x v="33"/>
    <s v="BAJO"/>
  </r>
  <r>
    <s v="Antibióticos / Antimicrobianos"/>
    <s v="ALBENDAZOL 200mg - IQFARMA"/>
    <n v="1"/>
    <x v="60"/>
    <s v="OK"/>
  </r>
  <r>
    <s v="Antibióticos / Antimicrobianos"/>
    <s v="Albendazol (Suspensión oral) 100mg / 5ml - Farmindustria"/>
    <n v="8"/>
    <x v="18"/>
    <s v="BAJO"/>
  </r>
  <r>
    <s v="Gastrointestinal (Laxante)"/>
    <s v="Lactulosa (Solución oral) 3,33g / 5ml - Farmindustria"/>
    <n v="15"/>
    <x v="58"/>
    <s v="BAJO"/>
  </r>
  <r>
    <s v="Varios / Misceláneos"/>
    <s v="Curitas (Bendi - C y Family Doctor)"/>
    <n v="0.2"/>
    <x v="74"/>
    <s v="OK"/>
  </r>
  <r>
    <s v="Varios / Misceláneos"/>
    <s v="Barra de azufre - Lucerito SAC."/>
    <n v="2"/>
    <x v="58"/>
    <s v="BAJO"/>
  </r>
  <r>
    <s v="Varios / Misceláneos"/>
    <s v="AZUFRE - Johnfarma"/>
    <n v="3"/>
    <x v="9"/>
    <s v="BAJO"/>
  </r>
  <r>
    <s v="Gastrointestinal (Antidiarreico)"/>
    <s v="Bismutol "/>
    <n v="2"/>
    <x v="0"/>
    <s v="OK"/>
  </r>
  <r>
    <s v="AINE"/>
    <s v="ANAFLEX mujer"/>
    <n v="2.5"/>
    <x v="12"/>
    <s v="OK"/>
  </r>
  <r>
    <s v="Varios / Misceláneos"/>
    <s v="SULFERIDA Polvo"/>
    <n v="1.5"/>
    <x v="75"/>
    <s v="OK"/>
  </r>
  <r>
    <s v="Varios / Misceláneos (Tópico)"/>
    <s v="BabyBalm VICK Bálsamo"/>
    <n v="3.5"/>
    <x v="19"/>
    <s v="BAJO"/>
  </r>
  <r>
    <s v="Varios / Misceláneos (Tópico)"/>
    <s v="VICK VapoRub"/>
    <n v="3.8"/>
    <x v="46"/>
    <s v="BAJO"/>
  </r>
  <r>
    <s v="Varios / Misceláneos (Tópico)"/>
    <s v="Mentholatum"/>
    <n v="2"/>
    <x v="8"/>
    <s v="OK"/>
  </r>
  <r>
    <s v="Gastrointestinales (Antiácido/Laxante)"/>
    <s v="Sal de ANDREWS TRIPLE ACCION"/>
    <n v="1.5"/>
    <x v="22"/>
    <s v="OK"/>
  </r>
  <r>
    <s v="Gastrointestinales (Antiácido/Laxante)"/>
    <s v="Sal de ANDREWS Clásica"/>
    <n v="1"/>
    <x v="62"/>
    <s v="OK"/>
  </r>
  <r>
    <s v="Diabetes (Hipoglucemiante)"/>
    <s v="Metformina Clorhidrato 850mg"/>
    <n v="0.5"/>
    <x v="76"/>
    <s v="OK"/>
  </r>
  <r>
    <s v="Tracto Urinario (Analgésico)"/>
    <s v="FENAZOPIRIDINA 100mg"/>
    <n v="1"/>
    <x v="26"/>
    <s v="OK"/>
  </r>
  <r>
    <s v="Tracto Urinario (Analgésico)"/>
    <s v="Pyridium 100mg"/>
    <n v="2.5"/>
    <x v="8"/>
    <s v="OK"/>
  </r>
  <r>
    <s v="Tracto Urinario (Analgésico)"/>
    <s v="Uren 100mg"/>
    <n v="2"/>
    <x v="77"/>
    <s v="OK"/>
  </r>
  <r>
    <s v="Gastrointestinales (Hemorroides)"/>
    <s v="Nikzon "/>
    <n v="1.5"/>
    <x v="59"/>
    <s v="BAJO"/>
  </r>
  <r>
    <s v="Sistema Nervioso (Neuropático)"/>
    <s v="Pillneur 75 mg (Oral)"/>
    <n v="2"/>
    <x v="42"/>
    <s v="OK"/>
  </r>
  <r>
    <s v="Cardiovascular (Hipertensión)"/>
    <s v="Losartán Potásico 50mg - Portugal"/>
    <n v="0.5"/>
    <x v="78"/>
    <s v="OK"/>
  </r>
  <r>
    <s v="Cardiovascular (Hipertensión)"/>
    <s v="Losartán 50mg - Labogen"/>
    <n v="0.5"/>
    <x v="20"/>
    <s v="OK"/>
  </r>
  <r>
    <s v="Sistema Nervioso (Ansiolítico)"/>
    <s v="Alprazolam 0,5mg"/>
    <n v="1"/>
    <x v="79"/>
    <s v="OK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E6772E-BE64-4D86-89FE-2EBF17B02362}" name="TD_Productosmasvendidos" cacheId="12" applyNumberFormats="0" applyBorderFormats="0" applyFontFormats="0" applyPatternFormats="0" applyAlignmentFormats="0" applyWidthHeightFormats="1" dataCaption="Valores" updatedVersion="6" minRefreshableVersion="3" useAutoFormatting="1" rowGrandTotals="0" itemPrintTitles="1" createdVersion="6" indent="0" outline="1" outlineData="1" multipleFieldFilters="0" chartFormat="1">
  <location ref="A4:A25" firstHeaderRow="1" firstDataRow="1" firstDataCol="1" rowPageCount="1" colPageCount="1"/>
  <pivotFields count="5">
    <pivotField axis="axisPage" multipleItemSelectionAllowed="1" showAll="0">
      <items count="15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x="10"/>
        <item x="11"/>
        <item h="1" x="12"/>
        <item h="1" x="13"/>
        <item t="default"/>
      </items>
    </pivotField>
    <pivotField axis="axisRow" showAll="0">
      <items count="22">
        <item x="16"/>
        <item x="8"/>
        <item x="15"/>
        <item x="18"/>
        <item x="4"/>
        <item x="20"/>
        <item x="2"/>
        <item x="12"/>
        <item x="6"/>
        <item x="13"/>
        <item x="11"/>
        <item x="3"/>
        <item x="7"/>
        <item x="17"/>
        <item x="9"/>
        <item x="0"/>
        <item x="1"/>
        <item x="19"/>
        <item x="14"/>
        <item x="10"/>
        <item x="5"/>
        <item t="default"/>
      </items>
    </pivotField>
    <pivotField showAll="0"/>
    <pivotField showAll="0"/>
    <pivotField showAll="0"/>
  </pivotFields>
  <rowFields count="1">
    <field x="1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rowItems>
  <colItems count="1">
    <i/>
  </colItems>
  <pageFields count="1">
    <pageField fld="0" hier="-1"/>
  </pageField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3B1CDF-32C7-4D96-B2D9-93810FB10579}" name="TD_Ingresos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4">
  <location ref="A3:B14" firstHeaderRow="1" firstDataRow="1" firstDataCol="1"/>
  <pivotFields count="5">
    <pivotField numFmtId="22" showAll="0">
      <items count="15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x="10"/>
        <item x="11"/>
        <item h="1" x="12"/>
        <item h="1" x="13"/>
        <item t="default"/>
      </items>
    </pivotField>
    <pivotField axis="axisRow" showAll="0" measureFilter="1" sortType="descending">
      <items count="22">
        <item x="5"/>
        <item x="10"/>
        <item x="14"/>
        <item x="19"/>
        <item x="1"/>
        <item x="0"/>
        <item x="9"/>
        <item x="17"/>
        <item x="7"/>
        <item x="3"/>
        <item x="11"/>
        <item x="13"/>
        <item x="6"/>
        <item x="12"/>
        <item x="2"/>
        <item x="4"/>
        <item x="18"/>
        <item x="15"/>
        <item x="8"/>
        <item x="16"/>
        <item x="2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umFmtId="164" showAll="0"/>
    <pivotField dataField="1" numFmtId="164" showAll="0"/>
  </pivotFields>
  <rowFields count="1">
    <field x="1"/>
  </rowFields>
  <rowItems count="11">
    <i>
      <x v="10"/>
    </i>
    <i>
      <x v="11"/>
    </i>
    <i>
      <x v="9"/>
    </i>
    <i>
      <x v="13"/>
    </i>
    <i>
      <x v="19"/>
    </i>
    <i>
      <x v="6"/>
    </i>
    <i>
      <x v="4"/>
    </i>
    <i>
      <x v="2"/>
    </i>
    <i>
      <x v="8"/>
    </i>
    <i>
      <x v="3"/>
    </i>
    <i t="grand">
      <x/>
    </i>
  </rowItems>
  <colItems count="1">
    <i/>
  </colItems>
  <dataFields count="1">
    <dataField name="Suma de Total venta (S/.)" fld="4" baseField="0" baseItem="0"/>
  </dataFields>
  <chartFormats count="2"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4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EC367B-7BDB-49AC-A86B-BBB32A9C2D7F}" name="TablaDinámica7" cacheId="1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10:A11" firstHeaderRow="1" firstDataRow="1" firstDataCol="0" rowPageCount="1" colPageCount="1"/>
  <pivotFields count="5">
    <pivotField showAll="0"/>
    <pivotField dataField="1" showAll="0"/>
    <pivotField numFmtId="164" showAll="0"/>
    <pivotField axis="axisPage" multipleItemSelectionAllowed="1" showAll="0">
      <items count="82">
        <item x="59"/>
        <item x="58"/>
        <item x="19"/>
        <item x="9"/>
        <item x="33"/>
        <item x="17"/>
        <item x="18"/>
        <item x="16"/>
        <item x="55"/>
        <item x="46"/>
        <item h="1" x="20"/>
        <item h="1" x="72"/>
        <item h="1" x="35"/>
        <item h="1" x="28"/>
        <item h="1" x="8"/>
        <item h="1" x="15"/>
        <item h="1" x="1"/>
        <item h="1" x="22"/>
        <item h="1" x="14"/>
        <item h="1" x="42"/>
        <item h="1" x="11"/>
        <item h="1" x="2"/>
        <item h="1" x="23"/>
        <item h="1" x="62"/>
        <item h="1" x="75"/>
        <item h="1" x="63"/>
        <item h="1" x="25"/>
        <item h="1" x="53"/>
        <item h="1" x="0"/>
        <item h="1" x="56"/>
        <item h="1" x="12"/>
        <item h="1" x="70"/>
        <item h="1" x="54"/>
        <item h="1" x="36"/>
        <item h="1" x="27"/>
        <item h="1" x="21"/>
        <item h="1" x="30"/>
        <item h="1" x="49"/>
        <item h="1" x="26"/>
        <item h="1" x="13"/>
        <item h="1" x="57"/>
        <item h="1" m="1" x="80"/>
        <item h="1" x="31"/>
        <item h="1" x="3"/>
        <item h="1" x="4"/>
        <item h="1" x="40"/>
        <item h="1" x="65"/>
        <item h="1" x="60"/>
        <item h="1" x="5"/>
        <item h="1" x="51"/>
        <item h="1" x="69"/>
        <item h="1" x="48"/>
        <item h="1" x="6"/>
        <item h="1" x="71"/>
        <item h="1" x="10"/>
        <item h="1" x="7"/>
        <item h="1" x="34"/>
        <item h="1" x="52"/>
        <item h="1" x="43"/>
        <item h="1" x="45"/>
        <item h="1" x="78"/>
        <item h="1" x="68"/>
        <item h="1" x="44"/>
        <item h="1" x="76"/>
        <item h="1" x="47"/>
        <item h="1" x="37"/>
        <item h="1" x="74"/>
        <item h="1" x="39"/>
        <item h="1" x="73"/>
        <item h="1" x="77"/>
        <item h="1" x="32"/>
        <item h="1" x="64"/>
        <item h="1" x="61"/>
        <item h="1" x="67"/>
        <item h="1" x="66"/>
        <item h="1" x="50"/>
        <item h="1" x="79"/>
        <item h="1" x="29"/>
        <item h="1" x="24"/>
        <item h="1" x="38"/>
        <item h="1" x="41"/>
        <item t="default"/>
      </items>
    </pivotField>
    <pivotField showAll="0"/>
  </pivotFields>
  <rowItems count="1">
    <i/>
  </rowItems>
  <colItems count="1">
    <i/>
  </colItems>
  <pageFields count="1">
    <pageField fld="3" hier="-1"/>
  </pageFields>
  <dataFields count="1">
    <dataField name="Cuenta de Nombre del producto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4A143D-7B54-485C-B19A-7D5E5E3E3D49}" name="TD_Ventas_KPIS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B4" firstHeaderRow="0" firstDataRow="1" firstDataCol="0"/>
  <pivotFields count="5">
    <pivotField numFmtId="22" showAll="0">
      <items count="15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x="10"/>
        <item x="11"/>
        <item h="1" x="12"/>
        <item h="1" x="13"/>
        <item t="default"/>
      </items>
    </pivotField>
    <pivotField showAll="0"/>
    <pivotField dataField="1" showAll="0"/>
    <pivotField numFmtId="164" showAll="0"/>
    <pivotField dataField="1" numFmtId="164" showAl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Ventas totales (S/.)" fld="4" baseField="0" baseItem="2065213376" numFmtId="164"/>
    <dataField name="Cantidad de productos vendidos" fld="2" baseField="0" baseItem="0"/>
  </dataFields>
  <formats count="1">
    <format dxfId="0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D27CC1-5036-4A4B-8130-ED263C450907}" name="TablaDinámica1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6">
  <location ref="A3:B6" firstHeaderRow="1" firstDataRow="1" firstDataCol="1"/>
  <pivotFields count="5">
    <pivotField axis="axisRow" numFmtId="22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numFmtId="164" showAll="0"/>
    <pivotField dataField="1" numFmtId="164" showAll="0"/>
  </pivotFields>
  <rowFields count="1">
    <field x="0"/>
  </rowFields>
  <rowItems count="3">
    <i>
      <x v="10"/>
    </i>
    <i>
      <x v="11"/>
    </i>
    <i t="grand">
      <x/>
    </i>
  </rowItems>
  <colItems count="1">
    <i/>
  </colItems>
  <dataFields count="1">
    <dataField name="Suma de Total venta (S/.)" fld="4" baseField="0" baseItem="0"/>
  </dataFields>
  <chartFormats count="1"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" xr10:uid="{74F3DD19-28BD-41B9-B595-7D2FBEBC0FC0}" sourceName="Fecha">
  <pivotTables>
    <pivotTable tabId="9" name="TD_Productosmasvendidos"/>
    <pivotTable tabId="10" name="TD_Ingresos"/>
    <pivotTable tabId="11" name="TD_Ventas_KPIS"/>
  </pivotTables>
  <data>
    <tabular pivotCacheId="360346183">
      <items count="14">
        <i x="10" s="1"/>
        <i x="11" s="1"/>
        <i x="1" nd="1"/>
        <i x="2" nd="1"/>
        <i x="3" nd="1"/>
        <i x="4" nd="1"/>
        <i x="5" nd="1"/>
        <i x="6" nd="1"/>
        <i x="7" nd="1"/>
        <i x="8" nd="1"/>
        <i x="9" nd="1"/>
        <i x="12" nd="1"/>
        <i x="0" nd="1"/>
        <i x="1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echa" xr10:uid="{394387CB-C5FE-4243-9613-53BD6DA6E4D7}" cache="SegmentaciónDeDatos_Fecha" caption="Fecha" showCaption="0" style="SlicerStyleLight2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2336C3E-C1CE-4E6E-8B24-D90C16FF07F3}" name="registro_inventario" displayName="registro_inventario" ref="A1:E169" totalsRowShown="0" headerRowDxfId="13" dataDxfId="11" headerRowBorderDxfId="12" tableBorderDxfId="10">
  <autoFilter ref="A1:E169" xr:uid="{5DB0B94E-F5AD-4E5A-8E19-1C7D44AEA0DD}"/>
  <tableColumns count="5">
    <tableColumn id="1" xr3:uid="{99085AA6-39E3-4D11-B791-696F491814E9}" name="Categoría" dataDxfId="9"/>
    <tableColumn id="2" xr3:uid="{C16F8E5E-9825-4FB5-BDF4-00F1F02D2D41}" name="Nombre del producto" dataDxfId="8"/>
    <tableColumn id="3" xr3:uid="{A096B64E-1BB1-4622-86A8-BE3C4464B842}" name="Precio" dataDxfId="7"/>
    <tableColumn id="4" xr3:uid="{40639959-91BD-4034-A8A1-5B8F3710CA72}" name="Stock" dataDxfId="6"/>
    <tableColumn id="5" xr3:uid="{F4F27AB1-C432-4C69-9455-3679DF4836D5}" name="Estado" dataDxfId="5">
      <calculatedColumnFormula>IF(D2&lt;10,"BAJO","OK")</calculatedColumnFormula>
    </tableColumn>
  </tableColumns>
  <tableStyleInfo name="TableStyleLight17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823C93-6E77-4AFF-8951-D0C7060285F4}" name="registro_ventas" displayName="registro_ventas" ref="A1:E34" totalsRowShown="0" headerRowDxfId="4">
  <autoFilter ref="A1:E34" xr:uid="{7A109FC6-DF78-481A-8946-16CAEE1ABB0E}"/>
  <tableColumns count="5">
    <tableColumn id="1" xr3:uid="{FC14E268-8806-4213-ACE5-5379CAC3E10F}" name="Fecha" dataDxfId="3"/>
    <tableColumn id="3" xr3:uid="{A6DED167-6465-49BC-A15A-A5593D7D394E}" name="Producto"/>
    <tableColumn id="6" xr3:uid="{A93A6534-8B35-48F8-A74B-065B6E72ED92}" name="Cantidad vendida"/>
    <tableColumn id="5" xr3:uid="{4D50F498-E40B-4D58-9F4D-4C8D8BCFDE71}" name="Precio unitario (S/.)" dataDxfId="2"/>
    <tableColumn id="4" xr3:uid="{527A5578-8E89-4150-9758-17EA41FC0A02}" name="Total venta (S/.)" dataDxfId="1"/>
  </tableColumns>
  <tableStyleInfo name="TableStyleLight15" showFirstColumn="0" showLastColumn="0" showRowStripes="0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200"/>
  <sheetViews>
    <sheetView zoomScale="69" zoomScaleNormal="69" workbookViewId="0">
      <selection activeCell="H7" sqref="H7"/>
    </sheetView>
  </sheetViews>
  <sheetFormatPr baseColWidth="10" defaultColWidth="9.140625" defaultRowHeight="15" x14ac:dyDescent="0.25"/>
  <cols>
    <col min="1" max="1" width="42.85546875" bestFit="1" customWidth="1"/>
    <col min="2" max="2" width="76.28515625" customWidth="1"/>
    <col min="3" max="3" width="25.7109375" customWidth="1"/>
    <col min="4" max="4" width="17.85546875" customWidth="1"/>
    <col min="5" max="5" width="20.7109375" customWidth="1"/>
  </cols>
  <sheetData>
    <row r="1" spans="1:8" ht="16.5" x14ac:dyDescent="0.25">
      <c r="A1" s="2" t="s">
        <v>0</v>
      </c>
      <c r="B1" s="2" t="s">
        <v>99</v>
      </c>
      <c r="C1" s="2" t="s">
        <v>100</v>
      </c>
      <c r="D1" s="2" t="s">
        <v>1</v>
      </c>
      <c r="E1" s="2" t="s">
        <v>103</v>
      </c>
    </row>
    <row r="2" spans="1:8" ht="38.1" customHeight="1" x14ac:dyDescent="0.25">
      <c r="A2" s="3" t="s">
        <v>29</v>
      </c>
      <c r="B2" s="4" t="s">
        <v>2</v>
      </c>
      <c r="C2" s="5">
        <v>5</v>
      </c>
      <c r="D2" s="3">
        <v>40</v>
      </c>
      <c r="E2" s="3" t="str">
        <f t="shared" ref="E2:E33" si="0">IF(D2&lt;10,"BAJO","OK")</f>
        <v>OK</v>
      </c>
    </row>
    <row r="3" spans="1:8" ht="38.1" customHeight="1" x14ac:dyDescent="0.25">
      <c r="A3" s="3" t="s">
        <v>29</v>
      </c>
      <c r="B3" s="3" t="s">
        <v>3</v>
      </c>
      <c r="C3" s="5">
        <v>2.5</v>
      </c>
      <c r="D3" s="3">
        <v>19</v>
      </c>
      <c r="E3" s="3" t="str">
        <f t="shared" si="0"/>
        <v>OK</v>
      </c>
      <c r="H3" s="13"/>
    </row>
    <row r="4" spans="1:8" ht="38.1" customHeight="1" x14ac:dyDescent="0.25">
      <c r="A4" s="3" t="s">
        <v>29</v>
      </c>
      <c r="B4" s="3" t="s">
        <v>4</v>
      </c>
      <c r="C4" s="5">
        <v>1.5</v>
      </c>
      <c r="D4" s="3">
        <v>26</v>
      </c>
      <c r="E4" s="3" t="str">
        <f t="shared" si="0"/>
        <v>OK</v>
      </c>
    </row>
    <row r="5" spans="1:8" ht="38.1" customHeight="1" x14ac:dyDescent="0.25">
      <c r="A5" s="3" t="s">
        <v>29</v>
      </c>
      <c r="B5" s="3" t="s">
        <v>5</v>
      </c>
      <c r="C5" s="5">
        <v>1.5</v>
      </c>
      <c r="D5" s="3">
        <v>63</v>
      </c>
      <c r="E5" s="3" t="str">
        <f t="shared" si="0"/>
        <v>OK</v>
      </c>
    </row>
    <row r="6" spans="1:8" ht="38.1" customHeight="1" x14ac:dyDescent="0.25">
      <c r="A6" s="3" t="s">
        <v>29</v>
      </c>
      <c r="B6" s="3" t="s">
        <v>7</v>
      </c>
      <c r="C6" s="5">
        <v>2</v>
      </c>
      <c r="D6" s="3">
        <v>64</v>
      </c>
      <c r="E6" s="3" t="str">
        <f t="shared" si="0"/>
        <v>OK</v>
      </c>
    </row>
    <row r="7" spans="1:8" ht="38.1" customHeight="1" x14ac:dyDescent="0.25">
      <c r="A7" s="3" t="s">
        <v>29</v>
      </c>
      <c r="B7" s="3" t="s">
        <v>6</v>
      </c>
      <c r="C7" s="5">
        <v>2</v>
      </c>
      <c r="D7" s="3">
        <v>71</v>
      </c>
      <c r="E7" s="3" t="str">
        <f t="shared" si="0"/>
        <v>OK</v>
      </c>
    </row>
    <row r="8" spans="1:8" ht="38.1" customHeight="1" x14ac:dyDescent="0.25">
      <c r="A8" s="3" t="s">
        <v>30</v>
      </c>
      <c r="B8" s="3" t="s">
        <v>8</v>
      </c>
      <c r="C8" s="5">
        <v>1.2</v>
      </c>
      <c r="D8" s="3">
        <v>85</v>
      </c>
      <c r="E8" s="3" t="str">
        <f t="shared" si="0"/>
        <v>OK</v>
      </c>
    </row>
    <row r="9" spans="1:8" ht="38.1" customHeight="1" x14ac:dyDescent="0.25">
      <c r="A9" s="3" t="s">
        <v>31</v>
      </c>
      <c r="B9" s="3" t="s">
        <v>9</v>
      </c>
      <c r="C9" s="5">
        <v>1</v>
      </c>
      <c r="D9" s="3">
        <v>91</v>
      </c>
      <c r="E9" s="3" t="str">
        <f t="shared" si="0"/>
        <v>OK</v>
      </c>
    </row>
    <row r="10" spans="1:8" ht="38.1" customHeight="1" x14ac:dyDescent="0.25">
      <c r="A10" s="3" t="s">
        <v>31</v>
      </c>
      <c r="B10" s="3" t="s">
        <v>10</v>
      </c>
      <c r="C10" s="5">
        <v>5</v>
      </c>
      <c r="D10" s="3">
        <v>17</v>
      </c>
      <c r="E10" s="3" t="str">
        <f t="shared" si="0"/>
        <v>OK</v>
      </c>
    </row>
    <row r="11" spans="1:8" ht="38.1" customHeight="1" x14ac:dyDescent="0.25">
      <c r="A11" s="3" t="s">
        <v>32</v>
      </c>
      <c r="B11" s="3" t="s">
        <v>20</v>
      </c>
      <c r="C11" s="5">
        <v>7</v>
      </c>
      <c r="D11" s="3">
        <v>3</v>
      </c>
      <c r="E11" s="3" t="str">
        <f t="shared" si="0"/>
        <v>BAJO</v>
      </c>
    </row>
    <row r="12" spans="1:8" ht="38.1" customHeight="1" x14ac:dyDescent="0.25">
      <c r="A12" s="3" t="s">
        <v>32</v>
      </c>
      <c r="B12" s="3" t="s">
        <v>21</v>
      </c>
      <c r="C12" s="5">
        <v>7</v>
      </c>
      <c r="D12" s="3">
        <v>3</v>
      </c>
      <c r="E12" s="3" t="str">
        <f t="shared" si="0"/>
        <v>BAJO</v>
      </c>
    </row>
    <row r="13" spans="1:8" ht="38.1" customHeight="1" x14ac:dyDescent="0.25">
      <c r="A13" s="4" t="s">
        <v>33</v>
      </c>
      <c r="B13" s="3" t="s">
        <v>11</v>
      </c>
      <c r="C13" s="5">
        <v>1.5</v>
      </c>
      <c r="D13" s="3">
        <v>87</v>
      </c>
      <c r="E13" s="3" t="str">
        <f t="shared" si="0"/>
        <v>OK</v>
      </c>
    </row>
    <row r="14" spans="1:8" ht="38.1" customHeight="1" x14ac:dyDescent="0.25">
      <c r="A14" s="4" t="s">
        <v>34</v>
      </c>
      <c r="B14" s="3" t="s">
        <v>12</v>
      </c>
      <c r="C14" s="5">
        <v>2.5</v>
      </c>
      <c r="D14" s="3">
        <v>25</v>
      </c>
      <c r="E14" s="3" t="str">
        <f t="shared" si="0"/>
        <v>OK</v>
      </c>
    </row>
    <row r="15" spans="1:8" ht="38.1" customHeight="1" x14ac:dyDescent="0.25">
      <c r="A15" s="3" t="s">
        <v>35</v>
      </c>
      <c r="B15" s="3" t="s">
        <v>13</v>
      </c>
      <c r="C15" s="5">
        <v>1.2</v>
      </c>
      <c r="D15" s="3">
        <v>42</v>
      </c>
      <c r="E15" s="3" t="str">
        <f t="shared" si="0"/>
        <v>OK</v>
      </c>
    </row>
    <row r="16" spans="1:8" ht="38.1" customHeight="1" x14ac:dyDescent="0.25">
      <c r="A16" s="3" t="s">
        <v>36</v>
      </c>
      <c r="B16" s="3" t="s">
        <v>14</v>
      </c>
      <c r="C16" s="5">
        <v>1</v>
      </c>
      <c r="D16" s="3">
        <v>56</v>
      </c>
      <c r="E16" s="3" t="str">
        <f t="shared" si="0"/>
        <v>OK</v>
      </c>
    </row>
    <row r="17" spans="1:5" ht="38.1" customHeight="1" x14ac:dyDescent="0.25">
      <c r="A17" s="4" t="s">
        <v>37</v>
      </c>
      <c r="B17" s="3" t="s">
        <v>15</v>
      </c>
      <c r="C17" s="5">
        <v>1</v>
      </c>
      <c r="D17" s="3">
        <v>22</v>
      </c>
      <c r="E17" s="3" t="str">
        <f t="shared" si="0"/>
        <v>OK</v>
      </c>
    </row>
    <row r="18" spans="1:5" ht="38.1" customHeight="1" x14ac:dyDescent="0.25">
      <c r="A18" s="3" t="s">
        <v>40</v>
      </c>
      <c r="B18" s="3" t="s">
        <v>39</v>
      </c>
      <c r="C18" s="5">
        <v>2</v>
      </c>
      <c r="D18" s="3">
        <v>18</v>
      </c>
      <c r="E18" s="3" t="str">
        <f t="shared" si="0"/>
        <v>OK</v>
      </c>
    </row>
    <row r="19" spans="1:5" ht="38.1" customHeight="1" x14ac:dyDescent="0.25">
      <c r="A19" s="3" t="s">
        <v>40</v>
      </c>
      <c r="B19" s="3" t="s">
        <v>38</v>
      </c>
      <c r="C19" s="5">
        <v>1.5</v>
      </c>
      <c r="D19" s="3">
        <v>7</v>
      </c>
      <c r="E19" s="3" t="str">
        <f t="shared" si="0"/>
        <v>BAJO</v>
      </c>
    </row>
    <row r="20" spans="1:5" ht="38.1" customHeight="1" x14ac:dyDescent="0.25">
      <c r="A20" s="4" t="s">
        <v>41</v>
      </c>
      <c r="B20" s="3" t="s">
        <v>16</v>
      </c>
      <c r="C20" s="5">
        <v>1</v>
      </c>
      <c r="D20" s="3">
        <v>5</v>
      </c>
      <c r="E20" s="3" t="str">
        <f t="shared" si="0"/>
        <v>BAJO</v>
      </c>
    </row>
    <row r="21" spans="1:5" ht="38.1" customHeight="1" x14ac:dyDescent="0.25">
      <c r="A21" s="4" t="s">
        <v>42</v>
      </c>
      <c r="B21" s="3" t="s">
        <v>22</v>
      </c>
      <c r="C21" s="5">
        <v>5</v>
      </c>
      <c r="D21" s="3">
        <v>6</v>
      </c>
      <c r="E21" s="3" t="str">
        <f t="shared" si="0"/>
        <v>BAJO</v>
      </c>
    </row>
    <row r="22" spans="1:5" ht="38.1" customHeight="1" x14ac:dyDescent="0.25">
      <c r="A22" s="4" t="s">
        <v>43</v>
      </c>
      <c r="B22" s="3" t="s">
        <v>23</v>
      </c>
      <c r="C22" s="5">
        <v>16</v>
      </c>
      <c r="D22" s="3">
        <v>2</v>
      </c>
      <c r="E22" s="3" t="str">
        <f t="shared" si="0"/>
        <v>BAJO</v>
      </c>
    </row>
    <row r="23" spans="1:5" ht="38.1" customHeight="1" x14ac:dyDescent="0.25">
      <c r="A23" s="4" t="s">
        <v>44</v>
      </c>
      <c r="B23" s="3" t="s">
        <v>24</v>
      </c>
      <c r="C23" s="5">
        <v>15</v>
      </c>
      <c r="D23" s="3">
        <v>12</v>
      </c>
      <c r="E23" s="3" t="str">
        <f t="shared" si="0"/>
        <v>OK</v>
      </c>
    </row>
    <row r="24" spans="1:5" ht="38.1" customHeight="1" x14ac:dyDescent="0.25">
      <c r="A24" s="4" t="s">
        <v>45</v>
      </c>
      <c r="B24" s="3" t="s">
        <v>25</v>
      </c>
      <c r="C24" s="5">
        <v>10</v>
      </c>
      <c r="D24" s="3">
        <v>6</v>
      </c>
      <c r="E24" s="3" t="str">
        <f t="shared" si="0"/>
        <v>BAJO</v>
      </c>
    </row>
    <row r="25" spans="1:5" ht="38.1" customHeight="1" x14ac:dyDescent="0.25">
      <c r="A25" s="4" t="s">
        <v>46</v>
      </c>
      <c r="B25" s="3" t="s">
        <v>26</v>
      </c>
      <c r="C25" s="5">
        <v>18</v>
      </c>
      <c r="D25" s="3">
        <v>2</v>
      </c>
      <c r="E25" s="3" t="str">
        <f t="shared" si="0"/>
        <v>BAJO</v>
      </c>
    </row>
    <row r="26" spans="1:5" ht="38.1" customHeight="1" x14ac:dyDescent="0.25">
      <c r="A26" s="3" t="s">
        <v>47</v>
      </c>
      <c r="B26" s="3" t="s">
        <v>27</v>
      </c>
      <c r="C26" s="5">
        <v>5</v>
      </c>
      <c r="D26" s="3">
        <v>50</v>
      </c>
      <c r="E26" s="3" t="str">
        <f t="shared" si="0"/>
        <v>OK</v>
      </c>
    </row>
    <row r="27" spans="1:5" ht="38.1" customHeight="1" x14ac:dyDescent="0.25">
      <c r="A27" s="3" t="s">
        <v>47</v>
      </c>
      <c r="B27" s="3" t="s">
        <v>28</v>
      </c>
      <c r="C27" s="5">
        <v>4</v>
      </c>
      <c r="D27" s="3">
        <v>21</v>
      </c>
      <c r="E27" s="3" t="str">
        <f t="shared" si="0"/>
        <v>OK</v>
      </c>
    </row>
    <row r="28" spans="1:5" ht="38.1" customHeight="1" x14ac:dyDescent="0.25">
      <c r="A28" s="3" t="s">
        <v>34</v>
      </c>
      <c r="B28" s="3" t="s">
        <v>48</v>
      </c>
      <c r="C28" s="5">
        <v>2</v>
      </c>
      <c r="D28" s="3">
        <v>22</v>
      </c>
      <c r="E28" s="3" t="str">
        <f t="shared" si="0"/>
        <v>OK</v>
      </c>
    </row>
    <row r="29" spans="1:5" ht="38.1" customHeight="1" x14ac:dyDescent="0.25">
      <c r="A29" s="3" t="s">
        <v>34</v>
      </c>
      <c r="B29" s="3" t="s">
        <v>49</v>
      </c>
      <c r="C29" s="5">
        <v>3.5</v>
      </c>
      <c r="D29" s="3">
        <v>27</v>
      </c>
      <c r="E29" s="3" t="str">
        <f t="shared" si="0"/>
        <v>OK</v>
      </c>
    </row>
    <row r="30" spans="1:5" ht="38.1" customHeight="1" x14ac:dyDescent="0.25">
      <c r="A30" s="3" t="s">
        <v>34</v>
      </c>
      <c r="B30" s="3" t="s">
        <v>50</v>
      </c>
      <c r="C30" s="5">
        <v>2</v>
      </c>
      <c r="D30" s="3">
        <v>99</v>
      </c>
      <c r="E30" s="3" t="str">
        <f t="shared" si="0"/>
        <v>OK</v>
      </c>
    </row>
    <row r="31" spans="1:5" ht="38.1" customHeight="1" x14ac:dyDescent="0.25">
      <c r="A31" s="3" t="s">
        <v>34</v>
      </c>
      <c r="B31" s="3" t="s">
        <v>51</v>
      </c>
      <c r="C31" s="5">
        <v>3.5</v>
      </c>
      <c r="D31" s="3">
        <v>38</v>
      </c>
      <c r="E31" s="3" t="str">
        <f t="shared" si="0"/>
        <v>OK</v>
      </c>
    </row>
    <row r="32" spans="1:5" ht="38.1" customHeight="1" x14ac:dyDescent="0.25">
      <c r="A32" s="3" t="s">
        <v>34</v>
      </c>
      <c r="B32" s="3" t="s">
        <v>52</v>
      </c>
      <c r="C32" s="5">
        <v>2</v>
      </c>
      <c r="D32" s="3">
        <v>54</v>
      </c>
      <c r="E32" s="3" t="str">
        <f t="shared" si="0"/>
        <v>OK</v>
      </c>
    </row>
    <row r="33" spans="1:5" ht="38.1" customHeight="1" x14ac:dyDescent="0.25">
      <c r="A33" s="3" t="s">
        <v>34</v>
      </c>
      <c r="B33" s="3" t="s">
        <v>53</v>
      </c>
      <c r="C33" s="5">
        <v>2.5</v>
      </c>
      <c r="D33" s="3">
        <v>25</v>
      </c>
      <c r="E33" s="3" t="str">
        <f t="shared" si="0"/>
        <v>OK</v>
      </c>
    </row>
    <row r="34" spans="1:5" ht="38.1" customHeight="1" x14ac:dyDescent="0.25">
      <c r="A34" s="3" t="s">
        <v>34</v>
      </c>
      <c r="B34" s="3" t="s">
        <v>54</v>
      </c>
      <c r="C34" s="5">
        <v>2</v>
      </c>
      <c r="D34" s="3">
        <v>48</v>
      </c>
      <c r="E34" s="3" t="str">
        <f t="shared" ref="E34:E65" si="1">IF(D34&lt;10,"BAJO","OK")</f>
        <v>OK</v>
      </c>
    </row>
    <row r="35" spans="1:5" ht="38.1" customHeight="1" x14ac:dyDescent="0.25">
      <c r="A35" s="3" t="s">
        <v>55</v>
      </c>
      <c r="B35" s="3" t="s">
        <v>56</v>
      </c>
      <c r="C35" s="5">
        <v>3.5</v>
      </c>
      <c r="D35" s="3">
        <v>16</v>
      </c>
      <c r="E35" s="3" t="str">
        <f t="shared" si="1"/>
        <v>OK</v>
      </c>
    </row>
    <row r="36" spans="1:5" ht="38.1" customHeight="1" x14ac:dyDescent="0.25">
      <c r="A36" s="3" t="s">
        <v>36</v>
      </c>
      <c r="B36" s="3" t="s">
        <v>57</v>
      </c>
      <c r="C36" s="5">
        <v>0.3</v>
      </c>
      <c r="D36" s="3">
        <v>370</v>
      </c>
      <c r="E36" s="3" t="str">
        <f t="shared" si="1"/>
        <v>OK</v>
      </c>
    </row>
    <row r="37" spans="1:5" ht="38.1" customHeight="1" x14ac:dyDescent="0.25">
      <c r="A37" s="3" t="s">
        <v>36</v>
      </c>
      <c r="B37" s="3" t="s">
        <v>58</v>
      </c>
      <c r="C37" s="5">
        <v>1</v>
      </c>
      <c r="D37" s="3">
        <v>64</v>
      </c>
      <c r="E37" s="3" t="str">
        <f t="shared" si="1"/>
        <v>OK</v>
      </c>
    </row>
    <row r="38" spans="1:5" ht="38.1" customHeight="1" x14ac:dyDescent="0.25">
      <c r="A38" s="3" t="s">
        <v>36</v>
      </c>
      <c r="B38" s="3" t="s">
        <v>59</v>
      </c>
      <c r="C38" s="5">
        <v>1</v>
      </c>
      <c r="D38" s="3">
        <v>51</v>
      </c>
      <c r="E38" s="3" t="str">
        <f t="shared" si="1"/>
        <v>OK</v>
      </c>
    </row>
    <row r="39" spans="1:5" ht="38.1" customHeight="1" x14ac:dyDescent="0.25">
      <c r="A39" s="3" t="s">
        <v>36</v>
      </c>
      <c r="B39" s="3" t="s">
        <v>60</v>
      </c>
      <c r="C39" s="5">
        <v>0.5</v>
      </c>
      <c r="D39" s="3">
        <v>85</v>
      </c>
      <c r="E39" s="3" t="str">
        <f t="shared" si="1"/>
        <v>OK</v>
      </c>
    </row>
    <row r="40" spans="1:5" ht="38.1" customHeight="1" x14ac:dyDescent="0.25">
      <c r="A40" s="3" t="s">
        <v>36</v>
      </c>
      <c r="B40" s="3" t="s">
        <v>61</v>
      </c>
      <c r="C40" s="5">
        <v>0.3</v>
      </c>
      <c r="D40" s="3">
        <v>62</v>
      </c>
      <c r="E40" s="3" t="str">
        <f t="shared" si="1"/>
        <v>OK</v>
      </c>
    </row>
    <row r="41" spans="1:5" ht="38.1" customHeight="1" x14ac:dyDescent="0.25">
      <c r="A41" s="3" t="s">
        <v>198</v>
      </c>
      <c r="B41" s="3" t="s">
        <v>62</v>
      </c>
      <c r="C41" s="5">
        <v>0.5</v>
      </c>
      <c r="D41" s="3">
        <v>169</v>
      </c>
      <c r="E41" s="3" t="str">
        <f t="shared" si="1"/>
        <v>OK</v>
      </c>
    </row>
    <row r="42" spans="1:5" ht="38.1" customHeight="1" x14ac:dyDescent="0.25">
      <c r="A42" s="3" t="s">
        <v>30</v>
      </c>
      <c r="B42" s="3" t="s">
        <v>63</v>
      </c>
      <c r="C42" s="5">
        <v>1.2</v>
      </c>
      <c r="D42" s="3">
        <v>4</v>
      </c>
      <c r="E42" s="3" t="str">
        <f t="shared" si="1"/>
        <v>BAJO</v>
      </c>
    </row>
    <row r="43" spans="1:5" ht="38.1" customHeight="1" x14ac:dyDescent="0.25">
      <c r="A43" s="3" t="s">
        <v>199</v>
      </c>
      <c r="B43" s="3" t="s">
        <v>64</v>
      </c>
      <c r="C43" s="5">
        <v>1</v>
      </c>
      <c r="D43" s="3">
        <v>64</v>
      </c>
      <c r="E43" s="3" t="str">
        <f t="shared" si="1"/>
        <v>OK</v>
      </c>
    </row>
    <row r="44" spans="1:5" ht="38.1" customHeight="1" x14ac:dyDescent="0.25">
      <c r="A44" s="3" t="s">
        <v>200</v>
      </c>
      <c r="B44" s="3" t="s">
        <v>65</v>
      </c>
      <c r="C44" s="5">
        <v>2.5</v>
      </c>
      <c r="D44" s="3">
        <v>93</v>
      </c>
      <c r="E44" s="3" t="str">
        <f t="shared" si="1"/>
        <v>OK</v>
      </c>
    </row>
    <row r="45" spans="1:5" ht="38.1" customHeight="1" x14ac:dyDescent="0.25">
      <c r="A45" s="3" t="s">
        <v>201</v>
      </c>
      <c r="B45" s="3" t="s">
        <v>66</v>
      </c>
      <c r="C45" s="5">
        <v>2</v>
      </c>
      <c r="D45" s="3">
        <v>15</v>
      </c>
      <c r="E45" s="3" t="str">
        <f t="shared" si="1"/>
        <v>OK</v>
      </c>
    </row>
    <row r="46" spans="1:5" ht="38.1" customHeight="1" x14ac:dyDescent="0.25">
      <c r="A46" s="3" t="s">
        <v>201</v>
      </c>
      <c r="B46" s="3" t="s">
        <v>67</v>
      </c>
      <c r="C46" s="5">
        <v>2.5</v>
      </c>
      <c r="D46" s="3">
        <v>46</v>
      </c>
      <c r="E46" s="3" t="str">
        <f t="shared" si="1"/>
        <v>OK</v>
      </c>
    </row>
    <row r="47" spans="1:5" ht="38.1" customHeight="1" x14ac:dyDescent="0.25">
      <c r="A47" s="3" t="s">
        <v>201</v>
      </c>
      <c r="B47" s="3" t="s">
        <v>68</v>
      </c>
      <c r="C47" s="5">
        <v>2</v>
      </c>
      <c r="D47" s="3">
        <v>27</v>
      </c>
      <c r="E47" s="3" t="str">
        <f t="shared" si="1"/>
        <v>OK</v>
      </c>
    </row>
    <row r="48" spans="1:5" ht="38.1" customHeight="1" x14ac:dyDescent="0.25">
      <c r="A48" s="3" t="s">
        <v>201</v>
      </c>
      <c r="B48" s="3" t="s">
        <v>69</v>
      </c>
      <c r="C48" s="5">
        <v>2</v>
      </c>
      <c r="D48" s="3">
        <v>42</v>
      </c>
      <c r="E48" s="3" t="str">
        <f t="shared" si="1"/>
        <v>OK</v>
      </c>
    </row>
    <row r="49" spans="1:5" ht="38.1" customHeight="1" x14ac:dyDescent="0.25">
      <c r="A49" s="3" t="s">
        <v>201</v>
      </c>
      <c r="B49" s="3" t="s">
        <v>70</v>
      </c>
      <c r="C49" s="5">
        <v>2</v>
      </c>
      <c r="D49" s="3">
        <v>125</v>
      </c>
      <c r="E49" s="3" t="str">
        <f t="shared" si="1"/>
        <v>OK</v>
      </c>
    </row>
    <row r="50" spans="1:5" ht="38.1" customHeight="1" x14ac:dyDescent="0.25">
      <c r="A50" s="3" t="s">
        <v>202</v>
      </c>
      <c r="B50" s="3" t="s">
        <v>71</v>
      </c>
      <c r="C50" s="5">
        <v>2.2999999999999998</v>
      </c>
      <c r="D50" s="3">
        <v>25</v>
      </c>
      <c r="E50" s="3" t="str">
        <f t="shared" si="1"/>
        <v>OK</v>
      </c>
    </row>
    <row r="51" spans="1:5" ht="38.1" customHeight="1" x14ac:dyDescent="0.25">
      <c r="A51" s="3" t="s">
        <v>200</v>
      </c>
      <c r="B51" s="3" t="s">
        <v>72</v>
      </c>
      <c r="C51" s="5">
        <v>1</v>
      </c>
      <c r="D51" s="3">
        <v>91</v>
      </c>
      <c r="E51" s="3" t="str">
        <f t="shared" si="1"/>
        <v>OK</v>
      </c>
    </row>
    <row r="52" spans="1:5" ht="38.1" customHeight="1" x14ac:dyDescent="0.25">
      <c r="A52" s="3" t="s">
        <v>200</v>
      </c>
      <c r="B52" s="3" t="s">
        <v>73</v>
      </c>
      <c r="C52" s="5">
        <v>2.5</v>
      </c>
      <c r="D52" s="3">
        <v>60</v>
      </c>
      <c r="E52" s="3" t="str">
        <f t="shared" si="1"/>
        <v>OK</v>
      </c>
    </row>
    <row r="53" spans="1:5" ht="38.1" customHeight="1" x14ac:dyDescent="0.25">
      <c r="A53" s="3" t="s">
        <v>201</v>
      </c>
      <c r="B53" s="3" t="s">
        <v>74</v>
      </c>
      <c r="C53" s="5">
        <v>0.5</v>
      </c>
      <c r="D53" s="3">
        <v>141</v>
      </c>
      <c r="E53" s="3" t="str">
        <f t="shared" si="1"/>
        <v>OK</v>
      </c>
    </row>
    <row r="54" spans="1:5" ht="38.1" customHeight="1" x14ac:dyDescent="0.25">
      <c r="A54" s="3" t="s">
        <v>201</v>
      </c>
      <c r="B54" s="3" t="s">
        <v>75</v>
      </c>
      <c r="C54" s="5">
        <v>3.5</v>
      </c>
      <c r="D54" s="3">
        <v>71</v>
      </c>
      <c r="E54" s="3" t="str">
        <f t="shared" si="1"/>
        <v>OK</v>
      </c>
    </row>
    <row r="55" spans="1:5" ht="38.1" customHeight="1" x14ac:dyDescent="0.25">
      <c r="A55" s="3" t="s">
        <v>203</v>
      </c>
      <c r="B55" s="3" t="s">
        <v>76</v>
      </c>
      <c r="C55" s="5">
        <v>1.5</v>
      </c>
      <c r="D55" s="3">
        <v>65</v>
      </c>
      <c r="E55" s="3" t="str">
        <f t="shared" si="1"/>
        <v>OK</v>
      </c>
    </row>
    <row r="56" spans="1:5" ht="38.1" customHeight="1" x14ac:dyDescent="0.25">
      <c r="A56" s="3" t="s">
        <v>30</v>
      </c>
      <c r="B56" s="3" t="s">
        <v>77</v>
      </c>
      <c r="C56" s="5">
        <v>2.2000000000000002</v>
      </c>
      <c r="D56" s="3">
        <v>96</v>
      </c>
      <c r="E56" s="3" t="str">
        <f t="shared" si="1"/>
        <v>OK</v>
      </c>
    </row>
    <row r="57" spans="1:5" ht="38.1" customHeight="1" x14ac:dyDescent="0.25">
      <c r="A57" s="3" t="s">
        <v>30</v>
      </c>
      <c r="B57" s="3" t="s">
        <v>78</v>
      </c>
      <c r="C57" s="5">
        <v>2</v>
      </c>
      <c r="D57" s="3">
        <v>24</v>
      </c>
      <c r="E57" s="3" t="str">
        <f t="shared" si="1"/>
        <v>OK</v>
      </c>
    </row>
    <row r="58" spans="1:5" ht="38.1" customHeight="1" x14ac:dyDescent="0.25">
      <c r="A58" s="3" t="s">
        <v>30</v>
      </c>
      <c r="B58" s="3" t="s">
        <v>79</v>
      </c>
      <c r="C58" s="5">
        <v>0.5</v>
      </c>
      <c r="D58" s="3">
        <v>97</v>
      </c>
      <c r="E58" s="3" t="str">
        <f t="shared" si="1"/>
        <v>OK</v>
      </c>
    </row>
    <row r="59" spans="1:5" ht="38.1" customHeight="1" x14ac:dyDescent="0.25">
      <c r="A59" s="3" t="s">
        <v>30</v>
      </c>
      <c r="B59" s="3" t="s">
        <v>80</v>
      </c>
      <c r="C59" s="5">
        <v>0.5</v>
      </c>
      <c r="D59" s="3">
        <v>108</v>
      </c>
      <c r="E59" s="3" t="str">
        <f t="shared" si="1"/>
        <v>OK</v>
      </c>
    </row>
    <row r="60" spans="1:5" ht="38.1" customHeight="1" x14ac:dyDescent="0.25">
      <c r="A60" s="3" t="s">
        <v>30</v>
      </c>
      <c r="B60" s="3" t="s">
        <v>81</v>
      </c>
      <c r="C60" s="5">
        <v>2</v>
      </c>
      <c r="D60" s="3">
        <v>7</v>
      </c>
      <c r="E60" s="3" t="str">
        <f t="shared" si="1"/>
        <v>BAJO</v>
      </c>
    </row>
    <row r="61" spans="1:5" ht="38.1" customHeight="1" x14ac:dyDescent="0.25">
      <c r="A61" s="3" t="s">
        <v>201</v>
      </c>
      <c r="B61" s="3" t="s">
        <v>82</v>
      </c>
      <c r="C61" s="5">
        <v>0.5</v>
      </c>
      <c r="D61" s="3">
        <v>98</v>
      </c>
      <c r="E61" s="3" t="str">
        <f t="shared" si="1"/>
        <v>OK</v>
      </c>
    </row>
    <row r="62" spans="1:5" ht="38.1" customHeight="1" x14ac:dyDescent="0.25">
      <c r="A62" s="3" t="s">
        <v>30</v>
      </c>
      <c r="B62" s="3" t="s">
        <v>83</v>
      </c>
      <c r="C62" s="5">
        <v>1.7</v>
      </c>
      <c r="D62" s="3">
        <v>9</v>
      </c>
      <c r="E62" s="3" t="str">
        <f t="shared" si="1"/>
        <v>BAJO</v>
      </c>
    </row>
    <row r="63" spans="1:5" ht="38.1" customHeight="1" x14ac:dyDescent="0.25">
      <c r="A63" s="3" t="s">
        <v>201</v>
      </c>
      <c r="B63" s="3" t="s">
        <v>84</v>
      </c>
      <c r="C63" s="5">
        <v>0.5</v>
      </c>
      <c r="D63" s="3">
        <v>120</v>
      </c>
      <c r="E63" s="3" t="str">
        <f t="shared" si="1"/>
        <v>OK</v>
      </c>
    </row>
    <row r="64" spans="1:5" ht="38.1" customHeight="1" x14ac:dyDescent="0.25">
      <c r="A64" s="3" t="s">
        <v>201</v>
      </c>
      <c r="B64" s="3" t="s">
        <v>85</v>
      </c>
      <c r="C64" s="5">
        <v>0.5</v>
      </c>
      <c r="D64" s="3">
        <v>84</v>
      </c>
      <c r="E64" s="3" t="str">
        <f t="shared" si="1"/>
        <v>OK</v>
      </c>
    </row>
    <row r="65" spans="1:5" ht="38.1" customHeight="1" x14ac:dyDescent="0.25">
      <c r="A65" s="3" t="s">
        <v>202</v>
      </c>
      <c r="B65" s="3" t="s">
        <v>86</v>
      </c>
      <c r="C65" s="5">
        <v>1</v>
      </c>
      <c r="D65" s="3">
        <v>52</v>
      </c>
      <c r="E65" s="3" t="str">
        <f t="shared" si="1"/>
        <v>OK</v>
      </c>
    </row>
    <row r="66" spans="1:5" ht="38.1" customHeight="1" x14ac:dyDescent="0.25">
      <c r="A66" s="3" t="s">
        <v>201</v>
      </c>
      <c r="B66" s="3" t="s">
        <v>87</v>
      </c>
      <c r="C66" s="5">
        <v>0.5</v>
      </c>
      <c r="D66" s="3">
        <v>235</v>
      </c>
      <c r="E66" s="3" t="str">
        <f t="shared" ref="E66:E97" si="2">IF(D66&lt;10,"BAJO","OK")</f>
        <v>OK</v>
      </c>
    </row>
    <row r="67" spans="1:5" ht="38.1" customHeight="1" x14ac:dyDescent="0.25">
      <c r="A67" s="3" t="s">
        <v>201</v>
      </c>
      <c r="B67" s="3" t="s">
        <v>88</v>
      </c>
      <c r="C67" s="5">
        <v>1</v>
      </c>
      <c r="D67" s="3">
        <v>73</v>
      </c>
      <c r="E67" s="3" t="str">
        <f t="shared" si="2"/>
        <v>OK</v>
      </c>
    </row>
    <row r="68" spans="1:5" ht="38.1" customHeight="1" x14ac:dyDescent="0.25">
      <c r="A68" s="3" t="s">
        <v>201</v>
      </c>
      <c r="B68" s="3" t="s">
        <v>89</v>
      </c>
      <c r="C68" s="5">
        <v>0.6</v>
      </c>
      <c r="D68" s="3">
        <v>95</v>
      </c>
      <c r="E68" s="3" t="str">
        <f t="shared" si="2"/>
        <v>OK</v>
      </c>
    </row>
    <row r="69" spans="1:5" ht="38.1" customHeight="1" x14ac:dyDescent="0.25">
      <c r="A69" s="3" t="s">
        <v>201</v>
      </c>
      <c r="B69" s="4" t="s">
        <v>90</v>
      </c>
      <c r="C69" s="5">
        <v>0.6</v>
      </c>
      <c r="D69" s="3">
        <v>39</v>
      </c>
      <c r="E69" s="3" t="str">
        <f t="shared" si="2"/>
        <v>OK</v>
      </c>
    </row>
    <row r="70" spans="1:5" ht="38.1" customHeight="1" x14ac:dyDescent="0.25">
      <c r="A70" s="3" t="s">
        <v>30</v>
      </c>
      <c r="B70" s="3" t="s">
        <v>91</v>
      </c>
      <c r="C70" s="5">
        <v>1</v>
      </c>
      <c r="D70" s="3">
        <v>44</v>
      </c>
      <c r="E70" s="3" t="str">
        <f t="shared" si="2"/>
        <v>OK</v>
      </c>
    </row>
    <row r="71" spans="1:5" ht="38.1" customHeight="1" x14ac:dyDescent="0.25">
      <c r="A71" s="3" t="s">
        <v>204</v>
      </c>
      <c r="B71" s="3" t="s">
        <v>123</v>
      </c>
      <c r="C71" s="5">
        <v>3</v>
      </c>
      <c r="D71" s="3">
        <v>7</v>
      </c>
      <c r="E71" s="3" t="str">
        <f t="shared" si="2"/>
        <v>BAJO</v>
      </c>
    </row>
    <row r="72" spans="1:5" ht="38.1" customHeight="1" x14ac:dyDescent="0.25">
      <c r="A72" s="3" t="s">
        <v>30</v>
      </c>
      <c r="B72" s="3" t="s">
        <v>96</v>
      </c>
      <c r="C72" s="5">
        <v>8</v>
      </c>
      <c r="D72" s="3">
        <v>8</v>
      </c>
      <c r="E72" s="3" t="str">
        <f t="shared" si="2"/>
        <v>BAJO</v>
      </c>
    </row>
    <row r="73" spans="1:5" ht="38.1" customHeight="1" x14ac:dyDescent="0.25">
      <c r="A73" s="3" t="s">
        <v>204</v>
      </c>
      <c r="B73" s="3" t="s">
        <v>197</v>
      </c>
      <c r="C73" s="12">
        <v>3</v>
      </c>
      <c r="D73" s="3">
        <v>8</v>
      </c>
      <c r="E73" s="3" t="str">
        <f t="shared" si="2"/>
        <v>BAJO</v>
      </c>
    </row>
    <row r="74" spans="1:5" ht="38.1" customHeight="1" x14ac:dyDescent="0.25">
      <c r="A74" s="3" t="s">
        <v>201</v>
      </c>
      <c r="B74" s="4" t="s">
        <v>122</v>
      </c>
      <c r="C74" s="12">
        <v>5</v>
      </c>
      <c r="D74" s="3">
        <v>41</v>
      </c>
      <c r="E74" s="3" t="str">
        <f t="shared" si="2"/>
        <v>OK</v>
      </c>
    </row>
    <row r="75" spans="1:5" ht="38.1" customHeight="1" x14ac:dyDescent="0.25">
      <c r="A75" s="3" t="s">
        <v>201</v>
      </c>
      <c r="B75" s="3" t="s">
        <v>121</v>
      </c>
      <c r="C75" s="12">
        <v>5</v>
      </c>
      <c r="D75" s="3">
        <v>25</v>
      </c>
      <c r="E75" s="3" t="str">
        <f t="shared" si="2"/>
        <v>OK</v>
      </c>
    </row>
    <row r="76" spans="1:5" ht="38.1" customHeight="1" x14ac:dyDescent="0.25">
      <c r="A76" s="3" t="s">
        <v>30</v>
      </c>
      <c r="B76" s="3" t="s">
        <v>92</v>
      </c>
      <c r="C76" s="12">
        <v>5</v>
      </c>
      <c r="D76" s="3">
        <v>57</v>
      </c>
      <c r="E76" s="3" t="str">
        <f t="shared" si="2"/>
        <v>OK</v>
      </c>
    </row>
    <row r="77" spans="1:5" ht="38.1" customHeight="1" x14ac:dyDescent="0.25">
      <c r="A77" s="3" t="s">
        <v>202</v>
      </c>
      <c r="B77" s="3" t="s">
        <v>120</v>
      </c>
      <c r="C77" s="5">
        <v>5</v>
      </c>
      <c r="D77" s="3">
        <v>4</v>
      </c>
      <c r="E77" s="3" t="str">
        <f t="shared" si="2"/>
        <v>BAJO</v>
      </c>
    </row>
    <row r="78" spans="1:5" ht="38.1" customHeight="1" x14ac:dyDescent="0.25">
      <c r="A78" s="3" t="s">
        <v>30</v>
      </c>
      <c r="B78" s="3" t="s">
        <v>93</v>
      </c>
      <c r="C78" s="12">
        <v>8</v>
      </c>
      <c r="D78" s="3">
        <v>5</v>
      </c>
      <c r="E78" s="3" t="str">
        <f t="shared" si="2"/>
        <v>BAJO</v>
      </c>
    </row>
    <row r="79" spans="1:5" ht="30" customHeight="1" x14ac:dyDescent="0.25">
      <c r="A79" s="3" t="s">
        <v>205</v>
      </c>
      <c r="B79" s="3" t="s">
        <v>119</v>
      </c>
      <c r="C79" s="5">
        <v>14</v>
      </c>
      <c r="D79" s="3">
        <v>1</v>
      </c>
      <c r="E79" s="3" t="str">
        <f t="shared" si="2"/>
        <v>BAJO</v>
      </c>
    </row>
    <row r="80" spans="1:5" ht="30" customHeight="1" x14ac:dyDescent="0.25">
      <c r="A80" s="3" t="s">
        <v>30</v>
      </c>
      <c r="B80" s="4" t="s">
        <v>118</v>
      </c>
      <c r="C80" s="5">
        <v>15</v>
      </c>
      <c r="D80" s="3">
        <v>5</v>
      </c>
      <c r="E80" s="3" t="str">
        <f t="shared" si="2"/>
        <v>BAJO</v>
      </c>
    </row>
    <row r="81" spans="1:5" ht="30" customHeight="1" x14ac:dyDescent="0.25">
      <c r="A81" s="3" t="s">
        <v>206</v>
      </c>
      <c r="B81" s="4" t="s">
        <v>117</v>
      </c>
      <c r="C81" s="5">
        <v>15</v>
      </c>
      <c r="D81" s="3">
        <v>16</v>
      </c>
      <c r="E81" s="3" t="str">
        <f t="shared" si="2"/>
        <v>OK</v>
      </c>
    </row>
    <row r="82" spans="1:5" ht="30" customHeight="1" x14ac:dyDescent="0.25">
      <c r="A82" s="3" t="s">
        <v>203</v>
      </c>
      <c r="B82" s="3" t="s">
        <v>94</v>
      </c>
      <c r="C82" s="5">
        <v>13</v>
      </c>
      <c r="D82" s="3">
        <v>0</v>
      </c>
      <c r="E82" s="3" t="str">
        <f t="shared" si="2"/>
        <v>BAJO</v>
      </c>
    </row>
    <row r="83" spans="1:5" ht="30" customHeight="1" x14ac:dyDescent="0.25">
      <c r="A83" s="3" t="s">
        <v>201</v>
      </c>
      <c r="B83" s="3" t="s">
        <v>95</v>
      </c>
      <c r="C83" s="5">
        <v>1</v>
      </c>
      <c r="D83" s="3">
        <v>57</v>
      </c>
      <c r="E83" s="3" t="str">
        <f t="shared" si="2"/>
        <v>OK</v>
      </c>
    </row>
    <row r="84" spans="1:5" ht="30" customHeight="1" x14ac:dyDescent="0.25">
      <c r="A84" s="3" t="s">
        <v>201</v>
      </c>
      <c r="B84" s="3" t="s">
        <v>116</v>
      </c>
      <c r="C84" s="5">
        <v>5</v>
      </c>
      <c r="D84" s="3">
        <v>1</v>
      </c>
      <c r="E84" s="3" t="str">
        <f t="shared" si="2"/>
        <v>BAJO</v>
      </c>
    </row>
    <row r="85" spans="1:5" ht="30" customHeight="1" x14ac:dyDescent="0.25">
      <c r="A85" s="3" t="s">
        <v>30</v>
      </c>
      <c r="B85" s="3" t="s">
        <v>115</v>
      </c>
      <c r="C85" s="5">
        <v>5</v>
      </c>
      <c r="D85" s="3">
        <v>25</v>
      </c>
      <c r="E85" s="3" t="str">
        <f t="shared" si="2"/>
        <v>OK</v>
      </c>
    </row>
    <row r="86" spans="1:5" ht="30" customHeight="1" x14ac:dyDescent="0.25">
      <c r="A86" s="3" t="s">
        <v>207</v>
      </c>
      <c r="B86" s="3" t="s">
        <v>114</v>
      </c>
      <c r="C86" s="5">
        <v>5</v>
      </c>
      <c r="D86" s="3">
        <v>69</v>
      </c>
      <c r="E86" s="3" t="str">
        <f t="shared" si="2"/>
        <v>OK</v>
      </c>
    </row>
    <row r="87" spans="1:5" ht="30" customHeight="1" x14ac:dyDescent="0.25">
      <c r="A87" s="3" t="s">
        <v>206</v>
      </c>
      <c r="B87" s="3" t="s">
        <v>113</v>
      </c>
      <c r="C87" s="5">
        <v>5</v>
      </c>
      <c r="D87" s="3">
        <v>9</v>
      </c>
      <c r="E87" s="3" t="str">
        <f t="shared" si="2"/>
        <v>BAJO</v>
      </c>
    </row>
    <row r="88" spans="1:5" ht="30" customHeight="1" x14ac:dyDescent="0.25">
      <c r="A88" s="3" t="s">
        <v>206</v>
      </c>
      <c r="B88" s="3" t="s">
        <v>112</v>
      </c>
      <c r="C88" s="5">
        <v>5</v>
      </c>
      <c r="D88" s="3">
        <v>12</v>
      </c>
      <c r="E88" s="3" t="str">
        <f t="shared" si="2"/>
        <v>OK</v>
      </c>
    </row>
    <row r="89" spans="1:5" ht="30" customHeight="1" x14ac:dyDescent="0.25">
      <c r="A89" s="3" t="s">
        <v>208</v>
      </c>
      <c r="B89" s="3" t="s">
        <v>111</v>
      </c>
      <c r="C89" s="5">
        <v>16</v>
      </c>
      <c r="D89" s="3">
        <v>4</v>
      </c>
      <c r="E89" s="3" t="str">
        <f t="shared" si="2"/>
        <v>BAJO</v>
      </c>
    </row>
    <row r="90" spans="1:5" ht="30" customHeight="1" x14ac:dyDescent="0.25">
      <c r="A90" s="3" t="s">
        <v>202</v>
      </c>
      <c r="B90" s="3" t="s">
        <v>110</v>
      </c>
      <c r="C90" s="5">
        <v>7</v>
      </c>
      <c r="D90" s="3">
        <v>1</v>
      </c>
      <c r="E90" s="3" t="str">
        <f t="shared" si="2"/>
        <v>BAJO</v>
      </c>
    </row>
    <row r="91" spans="1:5" ht="30" customHeight="1" x14ac:dyDescent="0.25">
      <c r="A91" s="3" t="s">
        <v>202</v>
      </c>
      <c r="B91" s="3" t="s">
        <v>109</v>
      </c>
      <c r="C91" s="5">
        <v>5</v>
      </c>
      <c r="D91" s="3">
        <v>5</v>
      </c>
      <c r="E91" s="3" t="str">
        <f t="shared" si="2"/>
        <v>BAJO</v>
      </c>
    </row>
    <row r="92" spans="1:5" ht="30" customHeight="1" x14ac:dyDescent="0.25">
      <c r="A92" s="3" t="s">
        <v>205</v>
      </c>
      <c r="B92" s="3" t="s">
        <v>108</v>
      </c>
      <c r="C92" s="5">
        <v>18</v>
      </c>
      <c r="D92" s="3">
        <v>1</v>
      </c>
      <c r="E92" s="3" t="str">
        <f t="shared" si="2"/>
        <v>BAJO</v>
      </c>
    </row>
    <row r="93" spans="1:5" ht="30" customHeight="1" x14ac:dyDescent="0.25">
      <c r="A93" s="3" t="s">
        <v>202</v>
      </c>
      <c r="B93" s="3" t="s">
        <v>107</v>
      </c>
      <c r="C93" s="5">
        <v>8</v>
      </c>
      <c r="D93" s="3">
        <v>3</v>
      </c>
      <c r="E93" s="3" t="str">
        <f t="shared" si="2"/>
        <v>BAJO</v>
      </c>
    </row>
    <row r="94" spans="1:5" ht="30" customHeight="1" x14ac:dyDescent="0.25">
      <c r="A94" s="3" t="s">
        <v>202</v>
      </c>
      <c r="B94" s="3" t="s">
        <v>106</v>
      </c>
      <c r="C94" s="5">
        <v>10</v>
      </c>
      <c r="D94" s="3">
        <v>7</v>
      </c>
      <c r="E94" s="3" t="str">
        <f t="shared" si="2"/>
        <v>BAJO</v>
      </c>
    </row>
    <row r="95" spans="1:5" ht="30" customHeight="1" x14ac:dyDescent="0.25">
      <c r="A95" s="3" t="s">
        <v>206</v>
      </c>
      <c r="B95" s="3" t="s">
        <v>105</v>
      </c>
      <c r="C95" s="5">
        <v>10</v>
      </c>
      <c r="D95" s="3">
        <v>1</v>
      </c>
      <c r="E95" s="3" t="str">
        <f t="shared" si="2"/>
        <v>BAJO</v>
      </c>
    </row>
    <row r="96" spans="1:5" ht="30" customHeight="1" x14ac:dyDescent="0.25">
      <c r="A96" s="3" t="s">
        <v>206</v>
      </c>
      <c r="B96" s="3" t="s">
        <v>104</v>
      </c>
      <c r="C96" s="5">
        <v>10</v>
      </c>
      <c r="D96" s="3">
        <v>1</v>
      </c>
      <c r="E96" s="3" t="str">
        <f t="shared" si="2"/>
        <v>BAJO</v>
      </c>
    </row>
    <row r="97" spans="1:5" ht="30" customHeight="1" x14ac:dyDescent="0.25">
      <c r="A97" s="3" t="s">
        <v>206</v>
      </c>
      <c r="B97" s="3" t="s">
        <v>124</v>
      </c>
      <c r="C97" s="5">
        <v>14</v>
      </c>
      <c r="D97" s="3">
        <v>7</v>
      </c>
      <c r="E97" s="11" t="str">
        <f t="shared" si="2"/>
        <v>BAJO</v>
      </c>
    </row>
    <row r="98" spans="1:5" ht="30" customHeight="1" x14ac:dyDescent="0.25">
      <c r="A98" s="3" t="s">
        <v>206</v>
      </c>
      <c r="B98" s="3" t="s">
        <v>125</v>
      </c>
      <c r="C98" s="5">
        <v>18</v>
      </c>
      <c r="D98" s="3">
        <v>2</v>
      </c>
      <c r="E98" s="11" t="str">
        <f t="shared" ref="E98:E129" si="3">IF(D98&lt;10,"BAJO","OK")</f>
        <v>BAJO</v>
      </c>
    </row>
    <row r="99" spans="1:5" ht="30" customHeight="1" x14ac:dyDescent="0.25">
      <c r="A99" s="3" t="s">
        <v>206</v>
      </c>
      <c r="B99" s="3" t="s">
        <v>126</v>
      </c>
      <c r="C99" s="5">
        <v>18</v>
      </c>
      <c r="D99" s="3">
        <v>4</v>
      </c>
      <c r="E99" s="11" t="str">
        <f t="shared" si="3"/>
        <v>BAJO</v>
      </c>
    </row>
    <row r="100" spans="1:5" ht="30" customHeight="1" x14ac:dyDescent="0.25">
      <c r="A100" s="3" t="s">
        <v>206</v>
      </c>
      <c r="B100" s="3" t="s">
        <v>127</v>
      </c>
      <c r="C100" s="5">
        <v>20</v>
      </c>
      <c r="D100" s="3">
        <v>4</v>
      </c>
      <c r="E100" s="11" t="str">
        <f t="shared" si="3"/>
        <v>BAJO</v>
      </c>
    </row>
    <row r="101" spans="1:5" ht="30" customHeight="1" x14ac:dyDescent="0.25">
      <c r="A101" s="3" t="s">
        <v>206</v>
      </c>
      <c r="B101" s="3" t="s">
        <v>128</v>
      </c>
      <c r="C101" s="5">
        <v>9</v>
      </c>
      <c r="D101" s="3">
        <v>5</v>
      </c>
      <c r="E101" s="11" t="str">
        <f t="shared" si="3"/>
        <v>BAJO</v>
      </c>
    </row>
    <row r="102" spans="1:5" ht="30" customHeight="1" x14ac:dyDescent="0.25">
      <c r="A102" s="3" t="s">
        <v>209</v>
      </c>
      <c r="B102" s="3" t="s">
        <v>129</v>
      </c>
      <c r="C102" s="5">
        <v>6</v>
      </c>
      <c r="D102" s="3">
        <v>5</v>
      </c>
      <c r="E102" s="11" t="str">
        <f t="shared" si="3"/>
        <v>BAJO</v>
      </c>
    </row>
    <row r="103" spans="1:5" ht="30" customHeight="1" x14ac:dyDescent="0.25">
      <c r="A103" s="3" t="s">
        <v>210</v>
      </c>
      <c r="B103" s="3" t="s">
        <v>130</v>
      </c>
      <c r="C103" s="5">
        <v>9</v>
      </c>
      <c r="D103" s="3">
        <v>7</v>
      </c>
      <c r="E103" s="11" t="str">
        <f t="shared" si="3"/>
        <v>BAJO</v>
      </c>
    </row>
    <row r="104" spans="1:5" ht="30" customHeight="1" x14ac:dyDescent="0.25">
      <c r="A104" s="3" t="s">
        <v>211</v>
      </c>
      <c r="B104" s="3" t="s">
        <v>131</v>
      </c>
      <c r="C104" s="5">
        <v>6</v>
      </c>
      <c r="D104" s="3">
        <v>6</v>
      </c>
      <c r="E104" s="11" t="str">
        <f t="shared" si="3"/>
        <v>BAJO</v>
      </c>
    </row>
    <row r="105" spans="1:5" ht="30" customHeight="1" x14ac:dyDescent="0.25">
      <c r="A105" s="3" t="s">
        <v>212</v>
      </c>
      <c r="B105" s="3" t="s">
        <v>132</v>
      </c>
      <c r="C105" s="5">
        <v>5</v>
      </c>
      <c r="D105" s="3">
        <v>6</v>
      </c>
      <c r="E105" s="11" t="str">
        <f t="shared" si="3"/>
        <v>BAJO</v>
      </c>
    </row>
    <row r="106" spans="1:5" ht="30" customHeight="1" x14ac:dyDescent="0.25">
      <c r="A106" s="3" t="s">
        <v>206</v>
      </c>
      <c r="B106" s="3" t="s">
        <v>133</v>
      </c>
      <c r="C106" s="5">
        <v>13</v>
      </c>
      <c r="D106" s="3">
        <v>2</v>
      </c>
      <c r="E106" s="11" t="str">
        <f t="shared" si="3"/>
        <v>BAJO</v>
      </c>
    </row>
    <row r="107" spans="1:5" ht="30" customHeight="1" x14ac:dyDescent="0.25">
      <c r="A107" s="3" t="s">
        <v>204</v>
      </c>
      <c r="B107" s="3" t="s">
        <v>134</v>
      </c>
      <c r="C107" s="5">
        <v>5</v>
      </c>
      <c r="D107" s="3">
        <v>1</v>
      </c>
      <c r="E107" s="11" t="str">
        <f t="shared" si="3"/>
        <v>BAJO</v>
      </c>
    </row>
    <row r="108" spans="1:5" ht="30" customHeight="1" x14ac:dyDescent="0.25">
      <c r="A108" s="3" t="s">
        <v>202</v>
      </c>
      <c r="B108" s="3" t="s">
        <v>136</v>
      </c>
      <c r="C108" s="5">
        <v>0.5</v>
      </c>
      <c r="D108" s="3">
        <v>192</v>
      </c>
      <c r="E108" s="11" t="str">
        <f t="shared" si="3"/>
        <v>OK</v>
      </c>
    </row>
    <row r="109" spans="1:5" ht="30" customHeight="1" x14ac:dyDescent="0.25">
      <c r="A109" s="3" t="s">
        <v>213</v>
      </c>
      <c r="B109" s="3" t="s">
        <v>135</v>
      </c>
      <c r="C109" s="5">
        <v>1</v>
      </c>
      <c r="D109" s="3">
        <v>87</v>
      </c>
      <c r="E109" s="11" t="str">
        <f t="shared" si="3"/>
        <v>OK</v>
      </c>
    </row>
    <row r="110" spans="1:5" ht="30" customHeight="1" x14ac:dyDescent="0.25">
      <c r="A110" s="3" t="s">
        <v>212</v>
      </c>
      <c r="B110" s="3" t="s">
        <v>137</v>
      </c>
      <c r="C110" s="5">
        <v>0.5</v>
      </c>
      <c r="D110" s="3">
        <v>141</v>
      </c>
      <c r="E110" s="11" t="str">
        <f t="shared" si="3"/>
        <v>OK</v>
      </c>
    </row>
    <row r="111" spans="1:5" ht="30" customHeight="1" x14ac:dyDescent="0.25">
      <c r="A111" s="3" t="s">
        <v>214</v>
      </c>
      <c r="B111" s="3" t="s">
        <v>138</v>
      </c>
      <c r="C111" s="5">
        <v>15</v>
      </c>
      <c r="D111" s="3">
        <v>2</v>
      </c>
      <c r="E111" s="11" t="str">
        <f t="shared" si="3"/>
        <v>BAJO</v>
      </c>
    </row>
    <row r="112" spans="1:5" ht="30" customHeight="1" x14ac:dyDescent="0.25">
      <c r="A112" s="3" t="s">
        <v>201</v>
      </c>
      <c r="B112" s="3" t="s">
        <v>139</v>
      </c>
      <c r="C112" s="5">
        <v>12</v>
      </c>
      <c r="D112" s="3">
        <v>12</v>
      </c>
      <c r="E112" s="11" t="str">
        <f t="shared" si="3"/>
        <v>OK</v>
      </c>
    </row>
    <row r="113" spans="1:5" ht="30" customHeight="1" x14ac:dyDescent="0.25">
      <c r="A113" s="3" t="s">
        <v>201</v>
      </c>
      <c r="B113" s="3" t="s">
        <v>140</v>
      </c>
      <c r="C113" s="5">
        <v>10</v>
      </c>
      <c r="D113" s="3">
        <v>4</v>
      </c>
      <c r="E113" s="11" t="str">
        <f t="shared" si="3"/>
        <v>BAJO</v>
      </c>
    </row>
    <row r="114" spans="1:5" ht="30" customHeight="1" x14ac:dyDescent="0.25">
      <c r="A114" s="3" t="s">
        <v>206</v>
      </c>
      <c r="B114" s="3" t="s">
        <v>141</v>
      </c>
      <c r="C114" s="5">
        <v>10</v>
      </c>
      <c r="D114" s="3">
        <v>9</v>
      </c>
      <c r="E114" s="11" t="str">
        <f t="shared" si="3"/>
        <v>BAJO</v>
      </c>
    </row>
    <row r="115" spans="1:5" ht="30" customHeight="1" x14ac:dyDescent="0.25">
      <c r="A115" s="3" t="s">
        <v>215</v>
      </c>
      <c r="B115" s="3" t="s">
        <v>142</v>
      </c>
      <c r="C115" s="5">
        <v>15</v>
      </c>
      <c r="D115" s="3">
        <v>6</v>
      </c>
      <c r="E115" s="11" t="str">
        <f t="shared" si="3"/>
        <v>BAJO</v>
      </c>
    </row>
    <row r="116" spans="1:5" ht="30" customHeight="1" x14ac:dyDescent="0.25">
      <c r="A116" s="3" t="s">
        <v>201</v>
      </c>
      <c r="B116" s="3" t="s">
        <v>143</v>
      </c>
      <c r="C116" s="5">
        <v>8</v>
      </c>
      <c r="D116" s="3">
        <v>1</v>
      </c>
      <c r="E116" s="11" t="str">
        <f t="shared" si="3"/>
        <v>BAJO</v>
      </c>
    </row>
    <row r="117" spans="1:5" ht="30" customHeight="1" x14ac:dyDescent="0.25">
      <c r="A117" s="3" t="s">
        <v>211</v>
      </c>
      <c r="B117" s="3" t="s">
        <v>144</v>
      </c>
      <c r="C117" s="5">
        <v>6</v>
      </c>
      <c r="D117" s="3">
        <v>4</v>
      </c>
      <c r="E117" s="11" t="str">
        <f t="shared" si="3"/>
        <v>BAJO</v>
      </c>
    </row>
    <row r="118" spans="1:5" ht="30" customHeight="1" x14ac:dyDescent="0.25">
      <c r="A118" s="3" t="s">
        <v>31</v>
      </c>
      <c r="B118" s="3" t="s">
        <v>145</v>
      </c>
      <c r="C118" s="5">
        <v>5</v>
      </c>
      <c r="D118" s="3">
        <v>2</v>
      </c>
      <c r="E118" s="11" t="str">
        <f t="shared" si="3"/>
        <v>BAJO</v>
      </c>
    </row>
    <row r="119" spans="1:5" ht="30" customHeight="1" x14ac:dyDescent="0.25">
      <c r="A119" s="3" t="s">
        <v>216</v>
      </c>
      <c r="B119" s="3" t="s">
        <v>146</v>
      </c>
      <c r="C119" s="5">
        <v>13</v>
      </c>
      <c r="D119" s="3">
        <v>2</v>
      </c>
      <c r="E119" s="11" t="str">
        <f t="shared" si="3"/>
        <v>BAJO</v>
      </c>
    </row>
    <row r="120" spans="1:5" ht="30" customHeight="1" x14ac:dyDescent="0.25">
      <c r="A120" s="3" t="s">
        <v>198</v>
      </c>
      <c r="B120" s="3" t="s">
        <v>147</v>
      </c>
      <c r="C120" s="5">
        <v>2.8</v>
      </c>
      <c r="D120" s="3">
        <v>46</v>
      </c>
      <c r="E120" s="11" t="str">
        <f t="shared" si="3"/>
        <v>OK</v>
      </c>
    </row>
    <row r="121" spans="1:5" ht="30" customHeight="1" x14ac:dyDescent="0.25">
      <c r="A121" s="3" t="s">
        <v>217</v>
      </c>
      <c r="B121" s="3" t="s">
        <v>148</v>
      </c>
      <c r="C121" s="5">
        <v>3</v>
      </c>
      <c r="D121" s="3">
        <v>12</v>
      </c>
      <c r="E121" s="11" t="str">
        <f t="shared" si="3"/>
        <v>OK</v>
      </c>
    </row>
    <row r="122" spans="1:5" ht="30" customHeight="1" x14ac:dyDescent="0.25">
      <c r="A122" s="3" t="s">
        <v>198</v>
      </c>
      <c r="B122" s="3" t="s">
        <v>149</v>
      </c>
      <c r="C122" s="5">
        <v>2</v>
      </c>
      <c r="D122" s="3">
        <v>4</v>
      </c>
      <c r="E122" s="11" t="str">
        <f t="shared" si="3"/>
        <v>BAJO</v>
      </c>
    </row>
    <row r="123" spans="1:5" ht="30" customHeight="1" x14ac:dyDescent="0.25">
      <c r="A123" s="3" t="s">
        <v>218</v>
      </c>
      <c r="B123" s="3" t="s">
        <v>150</v>
      </c>
      <c r="C123" s="5">
        <v>5</v>
      </c>
      <c r="D123" s="3">
        <v>9</v>
      </c>
      <c r="E123" s="11" t="str">
        <f t="shared" si="3"/>
        <v>BAJO</v>
      </c>
    </row>
    <row r="124" spans="1:5" ht="30" customHeight="1" x14ac:dyDescent="0.25">
      <c r="A124" s="3" t="s">
        <v>219</v>
      </c>
      <c r="B124" s="3" t="s">
        <v>151</v>
      </c>
      <c r="C124" s="5">
        <v>2.5</v>
      </c>
      <c r="D124" s="3">
        <v>30</v>
      </c>
      <c r="E124" s="11" t="str">
        <f t="shared" si="3"/>
        <v>OK</v>
      </c>
    </row>
    <row r="125" spans="1:5" ht="30" customHeight="1" x14ac:dyDescent="0.25">
      <c r="A125" s="3" t="s">
        <v>220</v>
      </c>
      <c r="B125" s="3" t="s">
        <v>152</v>
      </c>
      <c r="C125" s="5">
        <v>2</v>
      </c>
      <c r="D125" s="3">
        <v>36</v>
      </c>
      <c r="E125" s="11" t="str">
        <f t="shared" si="3"/>
        <v>OK</v>
      </c>
    </row>
    <row r="126" spans="1:5" ht="30" customHeight="1" x14ac:dyDescent="0.25">
      <c r="A126" s="3" t="s">
        <v>202</v>
      </c>
      <c r="B126" s="3" t="s">
        <v>153</v>
      </c>
      <c r="C126" s="5">
        <v>6.5</v>
      </c>
      <c r="D126" s="3">
        <v>8</v>
      </c>
      <c r="E126" s="11" t="str">
        <f t="shared" si="3"/>
        <v>BAJO</v>
      </c>
    </row>
    <row r="127" spans="1:5" ht="30" customHeight="1" x14ac:dyDescent="0.25">
      <c r="A127" s="3" t="s">
        <v>221</v>
      </c>
      <c r="B127" s="3" t="s">
        <v>154</v>
      </c>
      <c r="C127" s="5">
        <v>0.5</v>
      </c>
      <c r="D127" s="3">
        <v>180</v>
      </c>
      <c r="E127" s="11" t="str">
        <f t="shared" si="3"/>
        <v>OK</v>
      </c>
    </row>
    <row r="128" spans="1:5" ht="30" customHeight="1" x14ac:dyDescent="0.25">
      <c r="A128" s="3" t="s">
        <v>222</v>
      </c>
      <c r="B128" s="3" t="s">
        <v>155</v>
      </c>
      <c r="C128" s="5">
        <v>0.3</v>
      </c>
      <c r="D128" s="3">
        <v>68</v>
      </c>
      <c r="E128" s="11" t="str">
        <f t="shared" si="3"/>
        <v>OK</v>
      </c>
    </row>
    <row r="129" spans="1:5" ht="30" customHeight="1" x14ac:dyDescent="0.25">
      <c r="A129" s="3" t="s">
        <v>221</v>
      </c>
      <c r="B129" s="3" t="s">
        <v>156</v>
      </c>
      <c r="C129" s="5">
        <v>0.3</v>
      </c>
      <c r="D129" s="3">
        <v>5</v>
      </c>
      <c r="E129" s="11" t="str">
        <f t="shared" si="3"/>
        <v>BAJO</v>
      </c>
    </row>
    <row r="130" spans="1:5" ht="30" customHeight="1" x14ac:dyDescent="0.25">
      <c r="A130" s="3" t="s">
        <v>221</v>
      </c>
      <c r="B130" s="3" t="s">
        <v>157</v>
      </c>
      <c r="C130" s="5">
        <v>0.3</v>
      </c>
      <c r="D130" s="3">
        <v>198</v>
      </c>
      <c r="E130" s="11" t="str">
        <f t="shared" ref="E130:E161" si="4">IF(D130&lt;10,"BAJO","OK")</f>
        <v>OK</v>
      </c>
    </row>
    <row r="131" spans="1:5" ht="30" customHeight="1" x14ac:dyDescent="0.25">
      <c r="A131" s="3" t="s">
        <v>201</v>
      </c>
      <c r="B131" s="3" t="s">
        <v>158</v>
      </c>
      <c r="C131" s="5">
        <v>0.3</v>
      </c>
      <c r="D131" s="3">
        <v>196</v>
      </c>
      <c r="E131" s="11" t="str">
        <f t="shared" si="4"/>
        <v>OK</v>
      </c>
    </row>
    <row r="132" spans="1:5" ht="30" customHeight="1" x14ac:dyDescent="0.25">
      <c r="A132" s="3" t="s">
        <v>30</v>
      </c>
      <c r="B132" s="3" t="s">
        <v>159</v>
      </c>
      <c r="C132" s="5">
        <v>1</v>
      </c>
      <c r="D132" s="3">
        <v>39</v>
      </c>
      <c r="E132" s="11" t="str">
        <f t="shared" si="4"/>
        <v>OK</v>
      </c>
    </row>
    <row r="133" spans="1:5" ht="30" customHeight="1" x14ac:dyDescent="0.25">
      <c r="A133" s="3" t="s">
        <v>30</v>
      </c>
      <c r="B133" s="3" t="s">
        <v>160</v>
      </c>
      <c r="C133" s="5">
        <v>1.2</v>
      </c>
      <c r="D133" s="3">
        <v>105</v>
      </c>
      <c r="E133" s="11" t="str">
        <f t="shared" si="4"/>
        <v>OK</v>
      </c>
    </row>
    <row r="134" spans="1:5" ht="30" customHeight="1" x14ac:dyDescent="0.25">
      <c r="A134" s="3" t="s">
        <v>223</v>
      </c>
      <c r="B134" s="3" t="s">
        <v>161</v>
      </c>
      <c r="C134" s="5">
        <v>0.5</v>
      </c>
      <c r="D134" s="3">
        <v>64</v>
      </c>
      <c r="E134" s="11" t="str">
        <f t="shared" si="4"/>
        <v>OK</v>
      </c>
    </row>
    <row r="135" spans="1:5" ht="30" customHeight="1" x14ac:dyDescent="0.25">
      <c r="A135" s="3" t="s">
        <v>221</v>
      </c>
      <c r="B135" s="3" t="s">
        <v>162</v>
      </c>
      <c r="C135" s="5">
        <v>1</v>
      </c>
      <c r="D135" s="3">
        <v>81</v>
      </c>
      <c r="E135" s="11" t="str">
        <f t="shared" si="4"/>
        <v>OK</v>
      </c>
    </row>
    <row r="136" spans="1:5" ht="30" customHeight="1" x14ac:dyDescent="0.25">
      <c r="A136" s="3" t="s">
        <v>207</v>
      </c>
      <c r="B136" s="3" t="s">
        <v>163</v>
      </c>
      <c r="C136" s="5">
        <v>2</v>
      </c>
      <c r="D136" s="3">
        <v>18</v>
      </c>
      <c r="E136" s="11" t="str">
        <f t="shared" si="4"/>
        <v>OK</v>
      </c>
    </row>
    <row r="137" spans="1:5" ht="30" customHeight="1" x14ac:dyDescent="0.25">
      <c r="A137" s="3" t="s">
        <v>223</v>
      </c>
      <c r="B137" s="3" t="s">
        <v>164</v>
      </c>
      <c r="C137" s="5">
        <v>2</v>
      </c>
      <c r="D137" s="3">
        <v>43</v>
      </c>
      <c r="E137" s="11" t="str">
        <f t="shared" si="4"/>
        <v>OK</v>
      </c>
    </row>
    <row r="138" spans="1:5" ht="30" customHeight="1" x14ac:dyDescent="0.25">
      <c r="A138" s="3" t="s">
        <v>223</v>
      </c>
      <c r="B138" s="3" t="s">
        <v>165</v>
      </c>
      <c r="C138" s="5">
        <v>2</v>
      </c>
      <c r="D138" s="3">
        <v>86</v>
      </c>
      <c r="E138" s="11" t="str">
        <f t="shared" si="4"/>
        <v>OK</v>
      </c>
    </row>
    <row r="139" spans="1:5" ht="30" customHeight="1" x14ac:dyDescent="0.25">
      <c r="A139" s="3" t="s">
        <v>223</v>
      </c>
      <c r="B139" s="3" t="s">
        <v>166</v>
      </c>
      <c r="C139" s="5">
        <v>1.5</v>
      </c>
      <c r="D139" s="3">
        <v>13</v>
      </c>
      <c r="E139" s="11" t="str">
        <f t="shared" si="4"/>
        <v>OK</v>
      </c>
    </row>
    <row r="140" spans="1:5" ht="30" customHeight="1" x14ac:dyDescent="0.25">
      <c r="A140" s="3" t="s">
        <v>212</v>
      </c>
      <c r="B140" s="3" t="s">
        <v>167</v>
      </c>
      <c r="C140" s="5">
        <v>1.5</v>
      </c>
      <c r="D140" s="3">
        <v>18</v>
      </c>
      <c r="E140" s="11" t="str">
        <f t="shared" si="4"/>
        <v>OK</v>
      </c>
    </row>
    <row r="141" spans="1:5" ht="30" customHeight="1" x14ac:dyDescent="0.25">
      <c r="A141" s="3" t="s">
        <v>207</v>
      </c>
      <c r="B141" s="3" t="s">
        <v>168</v>
      </c>
      <c r="C141" s="5">
        <v>2</v>
      </c>
      <c r="D141" s="3">
        <v>38</v>
      </c>
      <c r="E141" s="11" t="str">
        <f t="shared" si="4"/>
        <v>OK</v>
      </c>
    </row>
    <row r="142" spans="1:5" ht="30" customHeight="1" x14ac:dyDescent="0.25">
      <c r="A142" s="3" t="s">
        <v>224</v>
      </c>
      <c r="B142" s="3" t="s">
        <v>169</v>
      </c>
      <c r="C142" s="5">
        <v>2.5</v>
      </c>
      <c r="D142" s="3">
        <v>13</v>
      </c>
      <c r="E142" s="11" t="str">
        <f t="shared" si="4"/>
        <v>OK</v>
      </c>
    </row>
    <row r="143" spans="1:5" ht="30" customHeight="1" x14ac:dyDescent="0.25">
      <c r="A143" s="3" t="s">
        <v>225</v>
      </c>
      <c r="B143" s="3" t="s">
        <v>170</v>
      </c>
      <c r="C143" s="5">
        <v>2</v>
      </c>
      <c r="D143" s="3">
        <v>151</v>
      </c>
      <c r="E143" s="11" t="str">
        <f t="shared" si="4"/>
        <v>OK</v>
      </c>
    </row>
    <row r="144" spans="1:5" ht="30" customHeight="1" x14ac:dyDescent="0.25">
      <c r="A144" s="3" t="s">
        <v>226</v>
      </c>
      <c r="B144" s="3" t="s">
        <v>171</v>
      </c>
      <c r="C144" s="5">
        <v>2</v>
      </c>
      <c r="D144" s="3">
        <v>40</v>
      </c>
      <c r="E144" s="11" t="str">
        <f t="shared" si="4"/>
        <v>OK</v>
      </c>
    </row>
    <row r="145" spans="1:5" ht="30" customHeight="1" x14ac:dyDescent="0.25">
      <c r="A145" s="3" t="s">
        <v>226</v>
      </c>
      <c r="B145" s="3" t="s">
        <v>172</v>
      </c>
      <c r="C145" s="5">
        <v>1</v>
      </c>
      <c r="D145" s="3">
        <v>63</v>
      </c>
      <c r="E145" s="11" t="str">
        <f t="shared" si="4"/>
        <v>OK</v>
      </c>
    </row>
    <row r="146" spans="1:5" ht="30" customHeight="1" x14ac:dyDescent="0.25">
      <c r="A146" s="3" t="s">
        <v>226</v>
      </c>
      <c r="B146" s="3" t="s">
        <v>173</v>
      </c>
      <c r="C146" s="5">
        <v>3</v>
      </c>
      <c r="D146" s="3">
        <v>4</v>
      </c>
      <c r="E146" s="11" t="str">
        <f t="shared" si="4"/>
        <v>BAJO</v>
      </c>
    </row>
    <row r="147" spans="1:5" ht="30" customHeight="1" x14ac:dyDescent="0.25">
      <c r="A147" s="3" t="s">
        <v>227</v>
      </c>
      <c r="B147" s="3" t="s">
        <v>174</v>
      </c>
      <c r="C147" s="5">
        <v>1</v>
      </c>
      <c r="D147" s="3">
        <v>69</v>
      </c>
      <c r="E147" s="11" t="str">
        <f t="shared" si="4"/>
        <v>OK</v>
      </c>
    </row>
    <row r="148" spans="1:5" ht="30" customHeight="1" x14ac:dyDescent="0.25">
      <c r="A148" s="3" t="s">
        <v>227</v>
      </c>
      <c r="B148" s="3" t="s">
        <v>175</v>
      </c>
      <c r="C148" s="5">
        <v>8</v>
      </c>
      <c r="D148" s="3">
        <v>6</v>
      </c>
      <c r="E148" s="11" t="str">
        <f t="shared" si="4"/>
        <v>BAJO</v>
      </c>
    </row>
    <row r="149" spans="1:5" ht="30" customHeight="1" x14ac:dyDescent="0.25">
      <c r="A149" s="3" t="s">
        <v>226</v>
      </c>
      <c r="B149" s="3" t="s">
        <v>176</v>
      </c>
      <c r="C149" s="5">
        <v>15</v>
      </c>
      <c r="D149" s="3">
        <v>1</v>
      </c>
      <c r="E149" s="11" t="str">
        <f t="shared" si="4"/>
        <v>BAJO</v>
      </c>
    </row>
    <row r="150" spans="1:5" ht="30" customHeight="1" x14ac:dyDescent="0.25">
      <c r="A150" s="3" t="s">
        <v>228</v>
      </c>
      <c r="B150" s="3" t="s">
        <v>177</v>
      </c>
      <c r="C150" s="5">
        <v>0.2</v>
      </c>
      <c r="D150" s="3">
        <v>138</v>
      </c>
      <c r="E150" s="11" t="str">
        <f t="shared" si="4"/>
        <v>OK</v>
      </c>
    </row>
    <row r="151" spans="1:5" ht="30" customHeight="1" x14ac:dyDescent="0.25">
      <c r="A151" s="3" t="s">
        <v>228</v>
      </c>
      <c r="B151" s="3" t="s">
        <v>178</v>
      </c>
      <c r="C151" s="5">
        <v>2</v>
      </c>
      <c r="D151" s="3">
        <v>1</v>
      </c>
      <c r="E151" s="11" t="str">
        <f t="shared" si="4"/>
        <v>BAJO</v>
      </c>
    </row>
    <row r="152" spans="1:5" ht="30" customHeight="1" x14ac:dyDescent="0.25">
      <c r="A152" s="3" t="s">
        <v>228</v>
      </c>
      <c r="B152" s="3" t="s">
        <v>179</v>
      </c>
      <c r="C152" s="5">
        <v>3</v>
      </c>
      <c r="D152" s="3">
        <v>3</v>
      </c>
      <c r="E152" s="11" t="str">
        <f t="shared" si="4"/>
        <v>BAJO</v>
      </c>
    </row>
    <row r="153" spans="1:5" ht="30" customHeight="1" x14ac:dyDescent="0.25">
      <c r="A153" s="3" t="s">
        <v>229</v>
      </c>
      <c r="B153" s="3" t="s">
        <v>180</v>
      </c>
      <c r="C153" s="5">
        <v>2</v>
      </c>
      <c r="D153" s="3">
        <v>40</v>
      </c>
      <c r="E153" s="11" t="str">
        <f t="shared" si="4"/>
        <v>OK</v>
      </c>
    </row>
    <row r="154" spans="1:5" ht="30" customHeight="1" x14ac:dyDescent="0.25">
      <c r="A154" s="3" t="s">
        <v>212</v>
      </c>
      <c r="B154" s="3" t="s">
        <v>181</v>
      </c>
      <c r="C154" s="5">
        <v>2.5</v>
      </c>
      <c r="D154" s="3">
        <v>42</v>
      </c>
      <c r="E154" s="11" t="str">
        <f t="shared" si="4"/>
        <v>OK</v>
      </c>
    </row>
    <row r="155" spans="1:5" ht="30" customHeight="1" x14ac:dyDescent="0.25">
      <c r="A155" s="3" t="s">
        <v>228</v>
      </c>
      <c r="B155" s="3" t="s">
        <v>182</v>
      </c>
      <c r="C155" s="5">
        <v>1.5</v>
      </c>
      <c r="D155" s="3">
        <v>32</v>
      </c>
      <c r="E155" s="11" t="str">
        <f t="shared" si="4"/>
        <v>OK</v>
      </c>
    </row>
    <row r="156" spans="1:5" ht="30" customHeight="1" x14ac:dyDescent="0.25">
      <c r="A156" s="3" t="s">
        <v>230</v>
      </c>
      <c r="B156" s="3" t="s">
        <v>183</v>
      </c>
      <c r="C156" s="5">
        <v>3.5</v>
      </c>
      <c r="D156" s="3">
        <v>2</v>
      </c>
      <c r="E156" s="11" t="str">
        <f t="shared" si="4"/>
        <v>BAJO</v>
      </c>
    </row>
    <row r="157" spans="1:5" ht="30" customHeight="1" x14ac:dyDescent="0.25">
      <c r="A157" s="3" t="s">
        <v>230</v>
      </c>
      <c r="B157" s="3" t="s">
        <v>184</v>
      </c>
      <c r="C157" s="5">
        <v>3.8</v>
      </c>
      <c r="D157" s="3">
        <v>9</v>
      </c>
      <c r="E157" s="11" t="str">
        <f t="shared" si="4"/>
        <v>BAJO</v>
      </c>
    </row>
    <row r="158" spans="1:5" ht="30" customHeight="1" x14ac:dyDescent="0.25">
      <c r="A158" s="3" t="s">
        <v>230</v>
      </c>
      <c r="B158" s="3" t="s">
        <v>185</v>
      </c>
      <c r="C158" s="5">
        <v>2</v>
      </c>
      <c r="D158" s="3">
        <v>17</v>
      </c>
      <c r="E158" s="11" t="str">
        <f t="shared" si="4"/>
        <v>OK</v>
      </c>
    </row>
    <row r="159" spans="1:5" ht="30" customHeight="1" x14ac:dyDescent="0.25">
      <c r="A159" s="3" t="s">
        <v>231</v>
      </c>
      <c r="B159" s="3" t="s">
        <v>186</v>
      </c>
      <c r="C159" s="5">
        <v>1.5</v>
      </c>
      <c r="D159" s="3">
        <v>21</v>
      </c>
      <c r="E159" s="11" t="str">
        <f t="shared" si="4"/>
        <v>OK</v>
      </c>
    </row>
    <row r="160" spans="1:5" ht="30" customHeight="1" x14ac:dyDescent="0.25">
      <c r="A160" s="3" t="s">
        <v>231</v>
      </c>
      <c r="B160" s="3" t="s">
        <v>187</v>
      </c>
      <c r="C160" s="5">
        <v>1</v>
      </c>
      <c r="D160" s="3">
        <v>30</v>
      </c>
      <c r="E160" s="11" t="str">
        <f t="shared" si="4"/>
        <v>OK</v>
      </c>
    </row>
    <row r="161" spans="1:5" ht="30" customHeight="1" x14ac:dyDescent="0.25">
      <c r="A161" s="3" t="s">
        <v>232</v>
      </c>
      <c r="B161" s="3" t="s">
        <v>188</v>
      </c>
      <c r="C161" s="5">
        <v>0.5</v>
      </c>
      <c r="D161" s="3">
        <v>113</v>
      </c>
      <c r="E161" s="11" t="str">
        <f t="shared" si="4"/>
        <v>OK</v>
      </c>
    </row>
    <row r="162" spans="1:5" ht="30" customHeight="1" x14ac:dyDescent="0.25">
      <c r="A162" s="3" t="s">
        <v>233</v>
      </c>
      <c r="B162" s="3" t="s">
        <v>189</v>
      </c>
      <c r="C162" s="5">
        <v>1</v>
      </c>
      <c r="D162" s="3">
        <v>54</v>
      </c>
      <c r="E162" s="11" t="str">
        <f t="shared" ref="E162:E169" si="5">IF(D162&lt;10,"BAJO","OK")</f>
        <v>OK</v>
      </c>
    </row>
    <row r="163" spans="1:5" ht="30" customHeight="1" x14ac:dyDescent="0.25">
      <c r="A163" s="3" t="s">
        <v>233</v>
      </c>
      <c r="B163" s="3" t="s">
        <v>190</v>
      </c>
      <c r="C163" s="5">
        <v>2.5</v>
      </c>
      <c r="D163" s="3">
        <v>17</v>
      </c>
      <c r="E163" s="11" t="str">
        <f t="shared" si="5"/>
        <v>OK</v>
      </c>
    </row>
    <row r="164" spans="1:5" ht="30" customHeight="1" x14ac:dyDescent="0.25">
      <c r="A164" s="3" t="s">
        <v>233</v>
      </c>
      <c r="B164" s="3" t="s">
        <v>191</v>
      </c>
      <c r="C164" s="5">
        <v>2</v>
      </c>
      <c r="D164" s="3">
        <v>162</v>
      </c>
      <c r="E164" s="11" t="str">
        <f t="shared" si="5"/>
        <v>OK</v>
      </c>
    </row>
    <row r="165" spans="1:5" ht="30" customHeight="1" x14ac:dyDescent="0.25">
      <c r="A165" s="3" t="s">
        <v>234</v>
      </c>
      <c r="B165" s="3" t="s">
        <v>192</v>
      </c>
      <c r="C165" s="5">
        <v>1.5</v>
      </c>
      <c r="D165" s="3">
        <v>0</v>
      </c>
      <c r="E165" s="11" t="str">
        <f t="shared" si="5"/>
        <v>BAJO</v>
      </c>
    </row>
    <row r="166" spans="1:5" ht="30" customHeight="1" x14ac:dyDescent="0.25">
      <c r="A166" s="3" t="s">
        <v>235</v>
      </c>
      <c r="B166" s="3" t="s">
        <v>193</v>
      </c>
      <c r="C166" s="5">
        <v>2</v>
      </c>
      <c r="D166" s="3">
        <v>24</v>
      </c>
      <c r="E166" s="11" t="str">
        <f t="shared" si="5"/>
        <v>OK</v>
      </c>
    </row>
    <row r="167" spans="1:5" ht="30" customHeight="1" x14ac:dyDescent="0.25">
      <c r="A167" s="3" t="s">
        <v>221</v>
      </c>
      <c r="B167" s="3" t="s">
        <v>195</v>
      </c>
      <c r="C167" s="5">
        <v>0.5</v>
      </c>
      <c r="D167" s="3">
        <v>100</v>
      </c>
      <c r="E167" s="11" t="str">
        <f t="shared" si="5"/>
        <v>OK</v>
      </c>
    </row>
    <row r="168" spans="1:5" ht="30" customHeight="1" x14ac:dyDescent="0.25">
      <c r="A168" s="3" t="s">
        <v>221</v>
      </c>
      <c r="B168" s="3" t="s">
        <v>194</v>
      </c>
      <c r="C168" s="5">
        <v>0.5</v>
      </c>
      <c r="D168" s="3">
        <v>12</v>
      </c>
      <c r="E168" s="11" t="str">
        <f t="shared" si="5"/>
        <v>OK</v>
      </c>
    </row>
    <row r="169" spans="1:5" ht="30" customHeight="1" x14ac:dyDescent="0.25">
      <c r="A169" s="3" t="s">
        <v>236</v>
      </c>
      <c r="B169" s="3" t="s">
        <v>196</v>
      </c>
      <c r="C169" s="5">
        <v>1</v>
      </c>
      <c r="D169" s="3">
        <v>321</v>
      </c>
      <c r="E169" s="11" t="str">
        <f t="shared" si="5"/>
        <v>OK</v>
      </c>
    </row>
    <row r="170" spans="1:5" ht="30" customHeight="1" x14ac:dyDescent="0.25"/>
    <row r="171" spans="1:5" ht="30" customHeight="1" x14ac:dyDescent="0.25"/>
    <row r="172" spans="1:5" ht="30" customHeight="1" x14ac:dyDescent="0.25"/>
    <row r="173" spans="1:5" ht="30" customHeight="1" x14ac:dyDescent="0.25"/>
    <row r="174" spans="1:5" ht="30" customHeight="1" x14ac:dyDescent="0.25"/>
    <row r="175" spans="1:5" ht="30" customHeight="1" x14ac:dyDescent="0.25"/>
    <row r="176" spans="1:5" ht="30" customHeight="1" x14ac:dyDescent="0.25"/>
    <row r="177" ht="30" customHeight="1" x14ac:dyDescent="0.25"/>
    <row r="178" ht="30" customHeight="1" x14ac:dyDescent="0.25"/>
    <row r="179" ht="30" customHeight="1" x14ac:dyDescent="0.25"/>
    <row r="180" ht="30" customHeight="1" x14ac:dyDescent="0.25"/>
    <row r="181" ht="30" customHeight="1" x14ac:dyDescent="0.25"/>
    <row r="182" ht="30" customHeight="1" x14ac:dyDescent="0.25"/>
    <row r="183" ht="30" customHeight="1" x14ac:dyDescent="0.25"/>
    <row r="184" ht="30" customHeight="1" x14ac:dyDescent="0.25"/>
    <row r="185" ht="30" customHeight="1" x14ac:dyDescent="0.25"/>
    <row r="186" ht="30" customHeight="1" x14ac:dyDescent="0.25"/>
    <row r="187" ht="30" customHeight="1" x14ac:dyDescent="0.25"/>
    <row r="188" ht="30" customHeight="1" x14ac:dyDescent="0.25"/>
    <row r="189" ht="30" customHeight="1" x14ac:dyDescent="0.25"/>
    <row r="190" ht="30" customHeight="1" x14ac:dyDescent="0.25"/>
    <row r="191" ht="30" customHeight="1" x14ac:dyDescent="0.25"/>
    <row r="192" ht="30" customHeight="1" x14ac:dyDescent="0.25"/>
    <row r="193" ht="30" customHeight="1" x14ac:dyDescent="0.25"/>
    <row r="194" ht="30" customHeight="1" x14ac:dyDescent="0.25"/>
    <row r="195" ht="30" customHeight="1" x14ac:dyDescent="0.25"/>
    <row r="196" ht="30" customHeight="1" x14ac:dyDescent="0.25"/>
    <row r="197" ht="30" customHeight="1" x14ac:dyDescent="0.25"/>
    <row r="198" ht="30" customHeight="1" x14ac:dyDescent="0.25"/>
    <row r="199" ht="30" customHeight="1" x14ac:dyDescent="0.25"/>
    <row r="200" ht="30" customHeight="1" x14ac:dyDescent="0.25"/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1">
          <controlPr defaultSize="0" autoLine="0" autoPict="0" r:id="rId5">
            <anchor moveWithCells="1">
              <from>
                <xdr:col>7</xdr:col>
                <xdr:colOff>581025</xdr:colOff>
                <xdr:row>1</xdr:row>
                <xdr:rowOff>457200</xdr:rowOff>
              </from>
              <to>
                <xdr:col>12</xdr:col>
                <xdr:colOff>0</xdr:colOff>
                <xdr:row>3</xdr:row>
                <xdr:rowOff>28575</xdr:rowOff>
              </to>
            </anchor>
          </controlPr>
        </control>
      </mc:Choice>
      <mc:Fallback>
        <control shapeId="3075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1CBC8-6F7D-45B5-B085-18CBCC226335}">
  <sheetPr codeName="Hoja2"/>
  <dimension ref="A1:G38"/>
  <sheetViews>
    <sheetView topLeftCell="A13" zoomScaleNormal="100" workbookViewId="0">
      <selection activeCell="A32" sqref="A32"/>
    </sheetView>
  </sheetViews>
  <sheetFormatPr baseColWidth="10" defaultRowHeight="15" x14ac:dyDescent="0.25"/>
  <cols>
    <col min="1" max="1" width="21.28515625" style="7" customWidth="1"/>
    <col min="2" max="2" width="52.7109375" customWidth="1"/>
    <col min="3" max="3" width="26.7109375" customWidth="1"/>
    <col min="4" max="4" width="22.42578125" style="9" customWidth="1"/>
    <col min="5" max="5" width="20.7109375" style="9" customWidth="1"/>
    <col min="6" max="6" width="20.7109375" customWidth="1"/>
  </cols>
  <sheetData>
    <row r="1" spans="1:7" x14ac:dyDescent="0.25">
      <c r="A1" s="6" t="s">
        <v>17</v>
      </c>
      <c r="B1" s="1" t="s">
        <v>18</v>
      </c>
      <c r="C1" s="1" t="s">
        <v>19</v>
      </c>
      <c r="D1" s="8" t="s">
        <v>98</v>
      </c>
      <c r="E1" s="8" t="s">
        <v>97</v>
      </c>
      <c r="F1" s="1"/>
    </row>
    <row r="2" spans="1:7" x14ac:dyDescent="0.25">
      <c r="A2" s="6">
        <v>45951</v>
      </c>
      <c r="B2" s="1" t="s">
        <v>87</v>
      </c>
      <c r="C2" s="1">
        <v>2</v>
      </c>
      <c r="D2" s="8">
        <v>0.5</v>
      </c>
      <c r="E2" s="8">
        <v>1</v>
      </c>
      <c r="G2" s="9"/>
    </row>
    <row r="3" spans="1:7" x14ac:dyDescent="0.25">
      <c r="A3" s="6">
        <v>45952</v>
      </c>
      <c r="B3" s="1" t="s">
        <v>113</v>
      </c>
      <c r="C3" s="1">
        <v>1</v>
      </c>
      <c r="D3" s="8">
        <v>5</v>
      </c>
      <c r="E3" s="8">
        <v>5</v>
      </c>
    </row>
    <row r="4" spans="1:7" x14ac:dyDescent="0.25">
      <c r="A4" s="6">
        <v>45952</v>
      </c>
      <c r="B4" s="1" t="s">
        <v>74</v>
      </c>
      <c r="C4" s="1">
        <v>1</v>
      </c>
      <c r="D4" s="8">
        <v>0.5</v>
      </c>
      <c r="E4" s="8">
        <v>0.5</v>
      </c>
    </row>
    <row r="5" spans="1:7" x14ac:dyDescent="0.25">
      <c r="A5" s="6">
        <v>45952</v>
      </c>
      <c r="B5" s="1" t="s">
        <v>73</v>
      </c>
      <c r="C5" s="1">
        <v>1</v>
      </c>
      <c r="D5" s="8">
        <v>2.5</v>
      </c>
      <c r="E5" s="8">
        <v>2.5</v>
      </c>
    </row>
    <row r="6" spans="1:7" x14ac:dyDescent="0.25">
      <c r="A6" s="6">
        <v>45952</v>
      </c>
      <c r="B6" s="1" t="s">
        <v>177</v>
      </c>
      <c r="C6" s="1">
        <v>1</v>
      </c>
      <c r="D6" s="8">
        <v>0.2</v>
      </c>
      <c r="E6" s="8">
        <v>0.2</v>
      </c>
    </row>
    <row r="7" spans="1:7" x14ac:dyDescent="0.25">
      <c r="A7" s="6">
        <v>45952</v>
      </c>
      <c r="B7" s="1" t="s">
        <v>73</v>
      </c>
      <c r="C7" s="1">
        <v>1</v>
      </c>
      <c r="D7" s="8">
        <v>2.5</v>
      </c>
      <c r="E7" s="8">
        <v>2.5</v>
      </c>
      <c r="F7" s="9"/>
    </row>
    <row r="8" spans="1:7" x14ac:dyDescent="0.25">
      <c r="A8" s="6">
        <v>45952</v>
      </c>
      <c r="B8" s="1" t="s">
        <v>78</v>
      </c>
      <c r="C8" s="1">
        <v>1</v>
      </c>
      <c r="D8" s="8">
        <v>2</v>
      </c>
      <c r="E8" s="8">
        <v>2</v>
      </c>
    </row>
    <row r="9" spans="1:7" x14ac:dyDescent="0.25">
      <c r="A9" s="6">
        <v>45952</v>
      </c>
      <c r="B9" s="1" t="s">
        <v>160</v>
      </c>
      <c r="C9" s="1">
        <v>1</v>
      </c>
      <c r="D9" s="8">
        <v>1.2</v>
      </c>
      <c r="E9" s="8">
        <v>1.2</v>
      </c>
    </row>
    <row r="10" spans="1:7" x14ac:dyDescent="0.25">
      <c r="A10" s="6">
        <v>45952</v>
      </c>
      <c r="B10" s="1" t="s">
        <v>177</v>
      </c>
      <c r="C10" s="1">
        <v>1</v>
      </c>
      <c r="D10" s="8">
        <v>0.2</v>
      </c>
      <c r="E10" s="8">
        <v>0.2</v>
      </c>
    </row>
    <row r="11" spans="1:7" x14ac:dyDescent="0.25">
      <c r="A11" s="6">
        <v>45952</v>
      </c>
      <c r="B11" s="1" t="s">
        <v>150</v>
      </c>
      <c r="C11" s="1">
        <v>1</v>
      </c>
      <c r="D11" s="8">
        <v>5</v>
      </c>
      <c r="E11" s="8">
        <v>5</v>
      </c>
    </row>
    <row r="12" spans="1:7" x14ac:dyDescent="0.25">
      <c r="A12" s="6">
        <v>45952</v>
      </c>
      <c r="B12" s="1" t="s">
        <v>180</v>
      </c>
      <c r="C12" s="1">
        <v>1</v>
      </c>
      <c r="D12" s="8">
        <v>2</v>
      </c>
      <c r="E12" s="8">
        <v>2</v>
      </c>
    </row>
    <row r="13" spans="1:7" x14ac:dyDescent="0.25">
      <c r="A13" s="6">
        <v>45953</v>
      </c>
      <c r="B13" s="1" t="s">
        <v>148</v>
      </c>
      <c r="C13" s="1">
        <v>2</v>
      </c>
      <c r="D13" s="8">
        <v>3</v>
      </c>
      <c r="E13" s="8">
        <v>6</v>
      </c>
      <c r="G13" s="9"/>
    </row>
    <row r="14" spans="1:7" x14ac:dyDescent="0.25">
      <c r="A14" s="6">
        <v>45953</v>
      </c>
      <c r="B14" s="1" t="s">
        <v>3</v>
      </c>
      <c r="C14" s="1">
        <v>1</v>
      </c>
      <c r="D14" s="8">
        <v>2.5</v>
      </c>
      <c r="E14" s="8">
        <v>2.5</v>
      </c>
    </row>
    <row r="15" spans="1:7" x14ac:dyDescent="0.25">
      <c r="A15" s="6">
        <v>45953</v>
      </c>
      <c r="B15" s="1" t="s">
        <v>75</v>
      </c>
      <c r="C15" s="1">
        <v>5</v>
      </c>
      <c r="D15" s="8">
        <v>3.5</v>
      </c>
      <c r="E15" s="8">
        <v>17.5</v>
      </c>
    </row>
    <row r="16" spans="1:7" x14ac:dyDescent="0.25">
      <c r="A16" s="6">
        <v>45953</v>
      </c>
      <c r="B16" s="1" t="s">
        <v>122</v>
      </c>
      <c r="C16" s="1">
        <v>2</v>
      </c>
      <c r="D16" s="8">
        <v>5</v>
      </c>
      <c r="E16" s="8">
        <v>10</v>
      </c>
    </row>
    <row r="17" spans="1:7" x14ac:dyDescent="0.25">
      <c r="A17" s="6">
        <v>45953</v>
      </c>
      <c r="B17" s="1" t="s">
        <v>121</v>
      </c>
      <c r="C17" s="1">
        <v>2</v>
      </c>
      <c r="D17" s="8">
        <v>5</v>
      </c>
      <c r="E17" s="8">
        <v>10</v>
      </c>
    </row>
    <row r="18" spans="1:7" x14ac:dyDescent="0.25">
      <c r="A18" s="6">
        <v>45953</v>
      </c>
      <c r="B18" s="1" t="s">
        <v>65</v>
      </c>
      <c r="C18" s="1">
        <v>1</v>
      </c>
      <c r="D18" s="8">
        <v>2.5</v>
      </c>
      <c r="E18" s="8">
        <v>2.5</v>
      </c>
    </row>
    <row r="19" spans="1:7" x14ac:dyDescent="0.25">
      <c r="A19" s="6">
        <v>45953</v>
      </c>
      <c r="B19" s="1" t="s">
        <v>87</v>
      </c>
      <c r="C19" s="1">
        <v>1</v>
      </c>
      <c r="D19" s="8">
        <v>0.5</v>
      </c>
      <c r="E19" s="8">
        <v>0.5</v>
      </c>
    </row>
    <row r="20" spans="1:7" x14ac:dyDescent="0.25">
      <c r="A20" s="6">
        <v>45953</v>
      </c>
      <c r="B20" s="1" t="s">
        <v>73</v>
      </c>
      <c r="C20" s="1">
        <v>1</v>
      </c>
      <c r="D20" s="8">
        <v>2.5</v>
      </c>
      <c r="E20" s="8">
        <v>2.5</v>
      </c>
    </row>
    <row r="21" spans="1:7" x14ac:dyDescent="0.25">
      <c r="A21" s="6">
        <v>45953</v>
      </c>
      <c r="B21" s="1" t="s">
        <v>160</v>
      </c>
      <c r="C21" s="1">
        <v>1</v>
      </c>
      <c r="D21" s="8">
        <v>1.2</v>
      </c>
      <c r="E21" s="8">
        <v>1.2</v>
      </c>
    </row>
    <row r="22" spans="1:7" x14ac:dyDescent="0.25">
      <c r="A22" s="6">
        <v>45955</v>
      </c>
      <c r="B22" s="1" t="s">
        <v>168</v>
      </c>
      <c r="C22" s="1">
        <v>1</v>
      </c>
      <c r="D22" s="8">
        <v>2</v>
      </c>
      <c r="E22" s="8">
        <v>2</v>
      </c>
    </row>
    <row r="23" spans="1:7" x14ac:dyDescent="0.25">
      <c r="A23" s="6">
        <v>45955</v>
      </c>
      <c r="B23" s="1" t="s">
        <v>77</v>
      </c>
      <c r="C23" s="1">
        <v>3</v>
      </c>
      <c r="D23" s="8">
        <v>2.2000000000000002</v>
      </c>
      <c r="E23" s="8">
        <v>6.6000000000000005</v>
      </c>
    </row>
    <row r="24" spans="1:7" x14ac:dyDescent="0.25">
      <c r="A24" s="6">
        <v>45955</v>
      </c>
      <c r="B24" s="1" t="s">
        <v>52</v>
      </c>
      <c r="C24" s="1">
        <v>1</v>
      </c>
      <c r="D24" s="8">
        <v>2</v>
      </c>
      <c r="E24" s="8">
        <v>2</v>
      </c>
    </row>
    <row r="25" spans="1:7" x14ac:dyDescent="0.25">
      <c r="A25" s="6">
        <v>45955</v>
      </c>
      <c r="B25" s="1" t="s">
        <v>74</v>
      </c>
      <c r="C25" s="1">
        <v>2</v>
      </c>
      <c r="D25" s="8">
        <v>0.5</v>
      </c>
      <c r="E25" s="8">
        <v>1</v>
      </c>
      <c r="G25" s="9"/>
    </row>
    <row r="26" spans="1:7" x14ac:dyDescent="0.25">
      <c r="A26" s="6">
        <v>45959</v>
      </c>
      <c r="B26" s="1" t="s">
        <v>53</v>
      </c>
      <c r="C26" s="1">
        <v>1</v>
      </c>
      <c r="D26" s="8">
        <v>2.5</v>
      </c>
      <c r="E26" s="8">
        <v>2.5</v>
      </c>
    </row>
    <row r="27" spans="1:7" x14ac:dyDescent="0.25">
      <c r="A27" s="6">
        <v>45959</v>
      </c>
      <c r="B27" s="1" t="s">
        <v>82</v>
      </c>
      <c r="C27" s="1">
        <v>6</v>
      </c>
      <c r="D27" s="8">
        <v>0.5</v>
      </c>
      <c r="E27" s="8">
        <v>3</v>
      </c>
    </row>
    <row r="28" spans="1:7" x14ac:dyDescent="0.25">
      <c r="A28" s="6">
        <v>45959</v>
      </c>
      <c r="B28" s="1" t="s">
        <v>73</v>
      </c>
      <c r="C28" s="1">
        <v>1</v>
      </c>
      <c r="D28" s="8">
        <v>2.5</v>
      </c>
      <c r="E28" s="8">
        <v>2.5</v>
      </c>
    </row>
    <row r="29" spans="1:7" x14ac:dyDescent="0.25">
      <c r="A29" s="6">
        <v>45959</v>
      </c>
      <c r="B29" s="1" t="s">
        <v>74</v>
      </c>
      <c r="C29" s="1">
        <v>1</v>
      </c>
      <c r="D29" s="8">
        <v>0.5</v>
      </c>
      <c r="E29" s="8">
        <v>0.5</v>
      </c>
    </row>
    <row r="30" spans="1:7" x14ac:dyDescent="0.25">
      <c r="A30" s="6">
        <v>45959</v>
      </c>
      <c r="B30" s="1" t="s">
        <v>65</v>
      </c>
      <c r="C30" s="1">
        <v>1</v>
      </c>
      <c r="D30" s="8">
        <v>2.5</v>
      </c>
      <c r="E30" s="8">
        <v>2.5</v>
      </c>
    </row>
    <row r="31" spans="1:7" x14ac:dyDescent="0.25">
      <c r="A31" s="6">
        <v>45959</v>
      </c>
      <c r="B31" s="1" t="s">
        <v>121</v>
      </c>
      <c r="C31" s="1">
        <v>1</v>
      </c>
      <c r="D31" s="8">
        <v>5</v>
      </c>
      <c r="E31" s="8">
        <v>5</v>
      </c>
    </row>
    <row r="32" spans="1:7" x14ac:dyDescent="0.25">
      <c r="A32" s="6">
        <v>45974.889351851853</v>
      </c>
      <c r="B32" s="1" t="s">
        <v>50</v>
      </c>
      <c r="C32" s="1">
        <v>1</v>
      </c>
      <c r="D32" s="8">
        <v>2</v>
      </c>
      <c r="E32" s="8">
        <v>2</v>
      </c>
    </row>
    <row r="33" spans="1:5" x14ac:dyDescent="0.25">
      <c r="A33" s="6">
        <v>45976.941678240742</v>
      </c>
      <c r="B33" s="1" t="s">
        <v>73</v>
      </c>
      <c r="C33" s="1">
        <v>1</v>
      </c>
      <c r="D33" s="8">
        <v>2.5</v>
      </c>
      <c r="E33" s="8">
        <v>2.5</v>
      </c>
    </row>
    <row r="34" spans="1:5" x14ac:dyDescent="0.25">
      <c r="A34" s="6">
        <v>45976.941747685189</v>
      </c>
      <c r="B34" s="1" t="s">
        <v>77</v>
      </c>
      <c r="C34" s="1">
        <v>1</v>
      </c>
      <c r="D34" s="8">
        <v>2.2000000000000002</v>
      </c>
      <c r="E34" s="8">
        <v>2.2000000000000002</v>
      </c>
    </row>
    <row r="35" spans="1:5" x14ac:dyDescent="0.25">
      <c r="A35"/>
    </row>
    <row r="36" spans="1:5" x14ac:dyDescent="0.25">
      <c r="A36"/>
    </row>
    <row r="37" spans="1:5" x14ac:dyDescent="0.25">
      <c r="A37"/>
    </row>
    <row r="38" spans="1:5" x14ac:dyDescent="0.25">
      <c r="A38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68C52-EEC3-4D77-9B38-14089FAA70B7}">
  <sheetPr codeName="Hoja3"/>
  <dimension ref="A2:B25"/>
  <sheetViews>
    <sheetView workbookViewId="0">
      <selection activeCell="A4" sqref="A4"/>
    </sheetView>
  </sheetViews>
  <sheetFormatPr baseColWidth="10" defaultRowHeight="15" x14ac:dyDescent="0.25"/>
  <cols>
    <col min="1" max="1" width="51.85546875" bestFit="1" customWidth="1"/>
    <col min="2" max="2" width="20.42578125" bestFit="1" customWidth="1"/>
  </cols>
  <sheetData>
    <row r="2" spans="1:2" x14ac:dyDescent="0.25">
      <c r="A2" s="22" t="s">
        <v>17</v>
      </c>
      <c r="B2" s="23" t="s">
        <v>238</v>
      </c>
    </row>
    <row r="4" spans="1:2" x14ac:dyDescent="0.25">
      <c r="A4" s="22" t="s">
        <v>237</v>
      </c>
    </row>
    <row r="5" spans="1:2" x14ac:dyDescent="0.25">
      <c r="A5" s="14" t="s">
        <v>77</v>
      </c>
    </row>
    <row r="6" spans="1:2" x14ac:dyDescent="0.25">
      <c r="A6" s="14" t="s">
        <v>180</v>
      </c>
    </row>
    <row r="7" spans="1:2" x14ac:dyDescent="0.25">
      <c r="A7" s="14" t="s">
        <v>168</v>
      </c>
    </row>
    <row r="8" spans="1:2" x14ac:dyDescent="0.25">
      <c r="A8" s="14" t="s">
        <v>53</v>
      </c>
    </row>
    <row r="9" spans="1:2" x14ac:dyDescent="0.25">
      <c r="A9" s="14" t="s">
        <v>177</v>
      </c>
    </row>
    <row r="10" spans="1:2" x14ac:dyDescent="0.25">
      <c r="A10" s="14" t="s">
        <v>50</v>
      </c>
    </row>
    <row r="11" spans="1:2" x14ac:dyDescent="0.25">
      <c r="A11" s="14" t="s">
        <v>74</v>
      </c>
    </row>
    <row r="12" spans="1:2" x14ac:dyDescent="0.25">
      <c r="A12" s="14" t="s">
        <v>122</v>
      </c>
    </row>
    <row r="13" spans="1:2" x14ac:dyDescent="0.25">
      <c r="A13" s="14" t="s">
        <v>160</v>
      </c>
    </row>
    <row r="14" spans="1:2" x14ac:dyDescent="0.25">
      <c r="A14" s="14" t="s">
        <v>121</v>
      </c>
    </row>
    <row r="15" spans="1:2" x14ac:dyDescent="0.25">
      <c r="A15" s="14" t="s">
        <v>75</v>
      </c>
    </row>
    <row r="16" spans="1:2" x14ac:dyDescent="0.25">
      <c r="A16" s="14" t="s">
        <v>73</v>
      </c>
    </row>
    <row r="17" spans="1:1" x14ac:dyDescent="0.25">
      <c r="A17" s="14" t="s">
        <v>150</v>
      </c>
    </row>
    <row r="18" spans="1:1" x14ac:dyDescent="0.25">
      <c r="A18" s="14" t="s">
        <v>52</v>
      </c>
    </row>
    <row r="19" spans="1:1" x14ac:dyDescent="0.25">
      <c r="A19" s="14" t="s">
        <v>148</v>
      </c>
    </row>
    <row r="20" spans="1:1" x14ac:dyDescent="0.25">
      <c r="A20" s="14" t="s">
        <v>87</v>
      </c>
    </row>
    <row r="21" spans="1:1" x14ac:dyDescent="0.25">
      <c r="A21" s="14" t="s">
        <v>113</v>
      </c>
    </row>
    <row r="22" spans="1:1" x14ac:dyDescent="0.25">
      <c r="A22" s="14" t="s">
        <v>82</v>
      </c>
    </row>
    <row r="23" spans="1:1" x14ac:dyDescent="0.25">
      <c r="A23" s="14" t="s">
        <v>65</v>
      </c>
    </row>
    <row r="24" spans="1:1" x14ac:dyDescent="0.25">
      <c r="A24" s="14" t="s">
        <v>3</v>
      </c>
    </row>
    <row r="25" spans="1:1" x14ac:dyDescent="0.25">
      <c r="A25" s="14" t="s">
        <v>78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7D127-9B5A-463C-B27A-2458F5D4B632}">
  <sheetPr codeName="Hoja4"/>
  <dimension ref="A3:B14"/>
  <sheetViews>
    <sheetView workbookViewId="0">
      <selection activeCell="A4" sqref="A4"/>
    </sheetView>
  </sheetViews>
  <sheetFormatPr baseColWidth="10" defaultRowHeight="15" x14ac:dyDescent="0.25"/>
  <cols>
    <col min="1" max="1" width="51.85546875" bestFit="1" customWidth="1"/>
    <col min="2" max="2" width="23.42578125" bestFit="1" customWidth="1"/>
  </cols>
  <sheetData>
    <row r="3" spans="1:2" x14ac:dyDescent="0.25">
      <c r="A3" s="22" t="s">
        <v>237</v>
      </c>
      <c r="B3" t="s">
        <v>102</v>
      </c>
    </row>
    <row r="4" spans="1:2" x14ac:dyDescent="0.25">
      <c r="A4" s="14" t="s">
        <v>75</v>
      </c>
      <c r="B4" s="10">
        <v>17.5</v>
      </c>
    </row>
    <row r="5" spans="1:2" x14ac:dyDescent="0.25">
      <c r="A5" s="14" t="s">
        <v>121</v>
      </c>
      <c r="B5" s="10">
        <v>15</v>
      </c>
    </row>
    <row r="6" spans="1:2" x14ac:dyDescent="0.25">
      <c r="A6" s="14" t="s">
        <v>73</v>
      </c>
      <c r="B6" s="10">
        <v>12.5</v>
      </c>
    </row>
    <row r="7" spans="1:2" x14ac:dyDescent="0.25">
      <c r="A7" s="14" t="s">
        <v>122</v>
      </c>
      <c r="B7" s="10">
        <v>10</v>
      </c>
    </row>
    <row r="8" spans="1:2" x14ac:dyDescent="0.25">
      <c r="A8" s="14" t="s">
        <v>77</v>
      </c>
      <c r="B8" s="10">
        <v>8.8000000000000007</v>
      </c>
    </row>
    <row r="9" spans="1:2" x14ac:dyDescent="0.25">
      <c r="A9" s="14" t="s">
        <v>148</v>
      </c>
      <c r="B9" s="10">
        <v>6</v>
      </c>
    </row>
    <row r="10" spans="1:2" x14ac:dyDescent="0.25">
      <c r="A10" s="14" t="s">
        <v>113</v>
      </c>
      <c r="B10" s="10">
        <v>5</v>
      </c>
    </row>
    <row r="11" spans="1:2" x14ac:dyDescent="0.25">
      <c r="A11" s="14" t="s">
        <v>65</v>
      </c>
      <c r="B11" s="10">
        <v>5</v>
      </c>
    </row>
    <row r="12" spans="1:2" x14ac:dyDescent="0.25">
      <c r="A12" s="14" t="s">
        <v>150</v>
      </c>
      <c r="B12" s="10">
        <v>5</v>
      </c>
    </row>
    <row r="13" spans="1:2" x14ac:dyDescent="0.25">
      <c r="A13" s="14" t="s">
        <v>82</v>
      </c>
      <c r="B13" s="10">
        <v>3</v>
      </c>
    </row>
    <row r="14" spans="1:2" x14ac:dyDescent="0.25">
      <c r="A14" s="14" t="s">
        <v>101</v>
      </c>
      <c r="B14" s="10">
        <v>87.8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62D2D-8492-463E-893E-4012D1433CF8}">
  <sheetPr codeName="Hoja5"/>
  <dimension ref="A3:C11"/>
  <sheetViews>
    <sheetView workbookViewId="0">
      <selection activeCell="A4" sqref="A4"/>
    </sheetView>
  </sheetViews>
  <sheetFormatPr baseColWidth="10" defaultRowHeight="15" x14ac:dyDescent="0.25"/>
  <cols>
    <col min="1" max="1" width="29.85546875" bestFit="1" customWidth="1"/>
    <col min="2" max="2" width="20.42578125" bestFit="1" customWidth="1"/>
    <col min="3" max="3" width="28.28515625" customWidth="1"/>
  </cols>
  <sheetData>
    <row r="3" spans="1:3" x14ac:dyDescent="0.25">
      <c r="A3" s="19" t="s">
        <v>244</v>
      </c>
      <c r="B3" s="23" t="s">
        <v>245</v>
      </c>
      <c r="C3" s="16" t="s">
        <v>239</v>
      </c>
    </row>
    <row r="4" spans="1:3" x14ac:dyDescent="0.25">
      <c r="A4" s="9">
        <v>109.1</v>
      </c>
      <c r="B4" s="10">
        <v>49</v>
      </c>
      <c r="C4" s="15">
        <f>A4/B4</f>
        <v>2.2265306122448978</v>
      </c>
    </row>
    <row r="6" spans="1:3" ht="15.75" x14ac:dyDescent="0.25">
      <c r="A6" s="31" t="s">
        <v>243</v>
      </c>
      <c r="B6" s="31"/>
    </row>
    <row r="8" spans="1:3" x14ac:dyDescent="0.25">
      <c r="A8" s="22" t="s">
        <v>1</v>
      </c>
      <c r="B8" s="23" t="s">
        <v>238</v>
      </c>
    </row>
    <row r="10" spans="1:3" x14ac:dyDescent="0.25">
      <c r="A10" t="s">
        <v>241</v>
      </c>
    </row>
    <row r="11" spans="1:3" x14ac:dyDescent="0.25">
      <c r="A11" s="10">
        <v>60</v>
      </c>
    </row>
  </sheetData>
  <mergeCells count="2">
    <mergeCell ref="A8:B8"/>
    <mergeCell ref="A6:B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9C00C-5C7E-4207-A2A7-C60D8656F75F}">
  <sheetPr codeName="Hoja6">
    <pageSetUpPr fitToPage="1"/>
  </sheetPr>
  <dimension ref="A1:I8"/>
  <sheetViews>
    <sheetView showGridLines="0" tabSelected="1" zoomScaleNormal="100" workbookViewId="0">
      <selection activeCell="I22" sqref="I22"/>
    </sheetView>
  </sheetViews>
  <sheetFormatPr baseColWidth="10" defaultRowHeight="15" x14ac:dyDescent="0.25"/>
  <cols>
    <col min="1" max="1" width="25.140625" customWidth="1"/>
    <col min="2" max="2" width="37" customWidth="1"/>
    <col min="3" max="3" width="34.7109375" customWidth="1"/>
    <col min="5" max="5" width="11.42578125" customWidth="1"/>
    <col min="6" max="6" width="11.85546875" bestFit="1" customWidth="1"/>
    <col min="8" max="8" width="9.140625" customWidth="1"/>
    <col min="11" max="11" width="10.85546875" customWidth="1"/>
  </cols>
  <sheetData>
    <row r="1" spans="1:9" ht="18" x14ac:dyDescent="0.25">
      <c r="A1" s="32" t="s">
        <v>240</v>
      </c>
      <c r="B1" s="32"/>
      <c r="C1" s="32"/>
      <c r="D1" s="32"/>
    </row>
    <row r="3" spans="1:9" ht="18.75" x14ac:dyDescent="0.25">
      <c r="A3" s="17" t="str">
        <f>KPIS!A3</f>
        <v>Ventas totales (S/.)</v>
      </c>
      <c r="B3" s="17" t="str">
        <f>KPIS!B3</f>
        <v>Cantidad de productos vendidos</v>
      </c>
      <c r="C3" s="17" t="str">
        <f>KPIS!C3</f>
        <v>Venta promedio por producto</v>
      </c>
      <c r="E3" s="28" t="s">
        <v>243</v>
      </c>
      <c r="G3" s="18"/>
      <c r="H3" s="19"/>
      <c r="I3" s="28" t="s">
        <v>247</v>
      </c>
    </row>
    <row r="4" spans="1:9" ht="18.75" x14ac:dyDescent="0.3">
      <c r="A4" s="20">
        <f>KPIS!A4</f>
        <v>109.1</v>
      </c>
      <c r="B4" s="21">
        <f>KPIS!B4</f>
        <v>49</v>
      </c>
      <c r="C4" s="20">
        <f>KPIS!C4</f>
        <v>2.2265306122448978</v>
      </c>
      <c r="E4" s="29">
        <f>KPIS!$A$11</f>
        <v>60</v>
      </c>
      <c r="I4" s="24" t="str">
        <f>Ingresos!A4</f>
        <v>Dolo Neurobion FORTE</v>
      </c>
    </row>
    <row r="6" spans="1:9" ht="18.75" x14ac:dyDescent="0.3">
      <c r="C6" s="27"/>
    </row>
    <row r="8" spans="1:9" ht="18.75" x14ac:dyDescent="0.3">
      <c r="A8" s="30" t="s">
        <v>242</v>
      </c>
      <c r="B8" s="30"/>
      <c r="C8" s="23"/>
      <c r="D8" s="26" t="s">
        <v>249</v>
      </c>
      <c r="F8" s="23"/>
    </row>
  </sheetData>
  <mergeCells count="1">
    <mergeCell ref="A1:D1"/>
  </mergeCells>
  <pageMargins left="0.7" right="0.7" top="0.75" bottom="0.75" header="0.3" footer="0.3"/>
  <pageSetup scale="48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A69EA-DCE1-46E5-B395-D7D214C65738}">
  <sheetPr codeName="Hoja7"/>
  <dimension ref="A3:B6"/>
  <sheetViews>
    <sheetView workbookViewId="0">
      <selection activeCell="H17" sqref="H17"/>
    </sheetView>
  </sheetViews>
  <sheetFormatPr baseColWidth="10" defaultRowHeight="15" x14ac:dyDescent="0.25"/>
  <cols>
    <col min="1" max="1" width="17.5703125" bestFit="1" customWidth="1"/>
    <col min="2" max="2" width="23.42578125" bestFit="1" customWidth="1"/>
  </cols>
  <sheetData>
    <row r="3" spans="1:2" x14ac:dyDescent="0.25">
      <c r="A3" s="22" t="s">
        <v>237</v>
      </c>
      <c r="B3" t="s">
        <v>102</v>
      </c>
    </row>
    <row r="4" spans="1:2" x14ac:dyDescent="0.25">
      <c r="A4" s="25" t="s">
        <v>246</v>
      </c>
      <c r="B4" s="10">
        <v>102.39999999999999</v>
      </c>
    </row>
    <row r="5" spans="1:2" x14ac:dyDescent="0.25">
      <c r="A5" s="25" t="s">
        <v>248</v>
      </c>
      <c r="B5" s="10">
        <v>6.7</v>
      </c>
    </row>
    <row r="6" spans="1:2" x14ac:dyDescent="0.25">
      <c r="A6" s="25" t="s">
        <v>101</v>
      </c>
      <c r="B6" s="10">
        <v>109.1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</vt:i4>
      </vt:variant>
    </vt:vector>
  </HeadingPairs>
  <TitlesOfParts>
    <vt:vector size="8" baseType="lpstr">
      <vt:lpstr>Inventario</vt:lpstr>
      <vt:lpstr>Ventas</vt:lpstr>
      <vt:lpstr>Productos más vendidos</vt:lpstr>
      <vt:lpstr>Ingresos</vt:lpstr>
      <vt:lpstr>KPIS</vt:lpstr>
      <vt:lpstr>Dashboard</vt:lpstr>
      <vt:lpstr>Tendencia</vt:lpstr>
      <vt:lpstr>Dashboard!Área_de_impresión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JULIUS</dc:creator>
  <cp:lastModifiedBy>ALUMNO - JULIUS CESAR ORME�O DE LA CRUZ</cp:lastModifiedBy>
  <cp:lastPrinted>2025-11-15T01:26:13Z</cp:lastPrinted>
  <dcterms:created xsi:type="dcterms:W3CDTF">2025-08-28T18:23:36Z</dcterms:created>
  <dcterms:modified xsi:type="dcterms:W3CDTF">2025-11-16T03:37:39Z</dcterms:modified>
</cp:coreProperties>
</file>